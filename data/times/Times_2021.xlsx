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Times/"/>
    </mc:Choice>
  </mc:AlternateContent>
  <xr:revisionPtr revIDLastSave="3" documentId="11_5E052FE47144983EF1983895395BDA1646C9230F" xr6:coauthVersionLast="47" xr6:coauthVersionMax="47" xr10:uidLastSave="{DB1B8A92-B127-4C17-A5D7-0C09CA2C5009}"/>
  <bookViews>
    <workbookView xWindow="-108" yWindow="-108" windowWidth="23256" windowHeight="12456" xr2:uid="{00000000-000D-0000-FFFF-FFFF00000000}"/>
  </bookViews>
  <sheets>
    <sheet name="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1" l="1"/>
  <c r="A58" i="1"/>
  <c r="A57" i="1"/>
  <c r="A56" i="1"/>
  <c r="A53" i="1"/>
  <c r="A52" i="1"/>
  <c r="A51" i="1"/>
  <c r="A50" i="1"/>
  <c r="A49" i="1"/>
  <c r="A48" i="1"/>
  <c r="A47" i="1"/>
  <c r="A46" i="1"/>
  <c r="A45" i="1"/>
  <c r="A42" i="1"/>
  <c r="A41" i="1"/>
  <c r="A39" i="1"/>
  <c r="A38" i="1"/>
  <c r="A37" i="1"/>
  <c r="A35" i="1"/>
  <c r="A34" i="1"/>
  <c r="A33" i="1"/>
  <c r="A31" i="1"/>
  <c r="A29" i="1"/>
  <c r="A28" i="1"/>
  <c r="A15" i="1"/>
</calcChain>
</file>

<file path=xl/sharedStrings.xml><?xml version="1.0" encoding="utf-8"?>
<sst xmlns="http://schemas.openxmlformats.org/spreadsheetml/2006/main" count="2341" uniqueCount="1145">
  <si>
    <t>Rank</t>
  </si>
  <si>
    <t>Name</t>
  </si>
  <si>
    <t>No. of FTE Students</t>
  </si>
  <si>
    <t>No. of students per staff</t>
  </si>
  <si>
    <t>International Students</t>
  </si>
  <si>
    <t>Female:Male Ratio</t>
  </si>
  <si>
    <t>Country/Region</t>
  </si>
  <si>
    <t>2</t>
  </si>
  <si>
    <t>Stanford University</t>
  </si>
  <si>
    <t>16,223</t>
  </si>
  <si>
    <t>7.4</t>
  </si>
  <si>
    <t>23%</t>
  </si>
  <si>
    <t>44 : 56</t>
  </si>
  <si>
    <t>United States</t>
  </si>
  <si>
    <t>3</t>
  </si>
  <si>
    <t>Harvard University</t>
  </si>
  <si>
    <t>21,261</t>
  </si>
  <si>
    <t>9.3</t>
  </si>
  <si>
    <t>25%</t>
  </si>
  <si>
    <t>49 : 51</t>
  </si>
  <si>
    <t>4</t>
  </si>
  <si>
    <t>California Institute of Technology</t>
  </si>
  <si>
    <t>2,238</t>
  </si>
  <si>
    <t>6.3</t>
  </si>
  <si>
    <t>33%</t>
  </si>
  <si>
    <t>36 : 64</t>
  </si>
  <si>
    <t>5</t>
  </si>
  <si>
    <t>Massachusetts Institute of Technology</t>
  </si>
  <si>
    <t>11,276</t>
  </si>
  <si>
    <t>8.4</t>
  </si>
  <si>
    <t>34%</t>
  </si>
  <si>
    <t>39 : 61</t>
  </si>
  <si>
    <t>7</t>
  </si>
  <si>
    <t>University of California, Berkeley</t>
  </si>
  <si>
    <t>39,918</t>
  </si>
  <si>
    <t>19.8</t>
  </si>
  <si>
    <t>17%</t>
  </si>
  <si>
    <t>51 : 49</t>
  </si>
  <si>
    <t>8</t>
  </si>
  <si>
    <t>Yale University</t>
  </si>
  <si>
    <t>12,910</t>
  </si>
  <si>
    <t>6.0</t>
  </si>
  <si>
    <t>20%</t>
  </si>
  <si>
    <t>50 : 50</t>
  </si>
  <si>
    <t>9</t>
  </si>
  <si>
    <t>Princeton University</t>
  </si>
  <si>
    <t>8,091</t>
  </si>
  <si>
    <t>8.0</t>
  </si>
  <si>
    <t>46 : 54</t>
  </si>
  <si>
    <t>10</t>
  </si>
  <si>
    <t>The University of Chicago</t>
  </si>
  <si>
    <t>14,292</t>
  </si>
  <si>
    <t>5.9</t>
  </si>
  <si>
    <t>31%</t>
  </si>
  <si>
    <t>12</t>
  </si>
  <si>
    <t>Johns Hopkins University</t>
  </si>
  <si>
    <t>16,432</t>
  </si>
  <si>
    <t>4.4</t>
  </si>
  <si>
    <t>27%</t>
  </si>
  <si>
    <t>52 : 48</t>
  </si>
  <si>
    <t>13</t>
  </si>
  <si>
    <t>University of Pennsylvania</t>
  </si>
  <si>
    <t>20,771</t>
  </si>
  <si>
    <t>6.4</t>
  </si>
  <si>
    <t>21%</t>
  </si>
  <si>
    <t>15</t>
  </si>
  <si>
    <t>University of California, Los Angeles</t>
  </si>
  <si>
    <t>41,673</t>
  </si>
  <si>
    <t>10.0</t>
  </si>
  <si>
    <t>55 : 45</t>
  </si>
  <si>
    <t>17</t>
  </si>
  <si>
    <t>Columbia University</t>
  </si>
  <si>
    <t>27,384</t>
  </si>
  <si>
    <t>5.7</t>
  </si>
  <si>
    <t>39%</t>
  </si>
  <si>
    <t>n/a</t>
  </si>
  <si>
    <t>19</t>
  </si>
  <si>
    <t>Cornell University</t>
  </si>
  <si>
    <t>23,016</t>
  </si>
  <si>
    <t>10.2</t>
  </si>
  <si>
    <t>Duke University</t>
  </si>
  <si>
    <t>15,489</t>
  </si>
  <si>
    <t>4.3</t>
  </si>
  <si>
    <t>22</t>
  </si>
  <si>
    <t>University of Michigan-Ann Arbor</t>
  </si>
  <si>
    <t>43,873</t>
  </si>
  <si>
    <t>8.3</t>
  </si>
  <si>
    <t>24</t>
  </si>
  <si>
    <t>Northwestern University</t>
  </si>
  <si>
    <t>18,529</t>
  </si>
  <si>
    <t>13.0</t>
  </si>
  <si>
    <t>19%</t>
  </si>
  <si>
    <t>26</t>
  </si>
  <si>
    <t>New York University</t>
  </si>
  <si>
    <t>44,474</t>
  </si>
  <si>
    <t>8.8</t>
  </si>
  <si>
    <t>57 : 43</t>
  </si>
  <si>
    <t>28</t>
  </si>
  <si>
    <t>Carnegie Mellon University</t>
  </si>
  <si>
    <t>14,058</t>
  </si>
  <si>
    <t>13.7</t>
  </si>
  <si>
    <t>48%</t>
  </si>
  <si>
    <t>43 : 57</t>
  </si>
  <si>
    <t>29</t>
  </si>
  <si>
    <t>University of Washington</t>
  </si>
  <si>
    <t>46,258</t>
  </si>
  <si>
    <t>10.7</t>
  </si>
  <si>
    <t>53 : 47</t>
  </si>
  <si>
    <t>33</t>
  </si>
  <si>
    <t>University of California, San Diego</t>
  </si>
  <si>
    <t>34,232</t>
  </si>
  <si>
    <t>12.0</t>
  </si>
  <si>
    <t>30%</t>
  </si>
  <si>
    <t>47 : 53</t>
  </si>
  <si>
    <t>38</t>
  </si>
  <si>
    <t>Georgia Institute of Technology</t>
  </si>
  <si>
    <t>26,043</t>
  </si>
  <si>
    <t>23.6</t>
  </si>
  <si>
    <t>33 : 67</t>
  </si>
  <si>
    <t>44</t>
  </si>
  <si>
    <t>University of Texas at Austin</t>
  </si>
  <si>
    <t>49,510</t>
  </si>
  <si>
    <t>16.9</t>
  </si>
  <si>
    <t>10%</t>
  </si>
  <si>
    <t>48</t>
  </si>
  <si>
    <t>University of Illinois at Urbana-Champaign</t>
  </si>
  <si>
    <t>45,980</t>
  </si>
  <si>
    <t>17.8</t>
  </si>
  <si>
    <t>24%</t>
  </si>
  <si>
    <t>48 : 52</t>
  </si>
  <si>
    <t>49</t>
  </si>
  <si>
    <t>University of Wisconsin-Madison</t>
  </si>
  <si>
    <t>39,451</t>
  </si>
  <si>
    <t>9.8</t>
  </si>
  <si>
    <t>13%</t>
  </si>
  <si>
    <t>50</t>
  </si>
  <si>
    <t>Washington University in St Louis</t>
  </si>
  <si>
    <t>13,693</t>
  </si>
  <si>
    <t>7.5</t>
  </si>
  <si>
    <t>53</t>
  </si>
  <si>
    <t>University of Southern California</t>
  </si>
  <si>
    <t>41,953</t>
  </si>
  <si>
    <t>Boston University</t>
  </si>
  <si>
    <t>26,510</t>
  </si>
  <si>
    <t>11.1</t>
  </si>
  <si>
    <t>28%</t>
  </si>
  <si>
    <t>59 : 41</t>
  </si>
  <si>
    <t>University of North Carolina at Chapel Hill</t>
  </si>
  <si>
    <t>30,956</t>
  </si>
  <si>
    <t>8.2</t>
  </si>
  <si>
    <t>8%</t>
  </si>
  <si>
    <t>58 : 42</t>
  </si>
  <si>
    <t>61</t>
  </si>
  <si>
    <t>Brown University</t>
  </si>
  <si>
    <t>9,695</t>
  </si>
  <si>
    <t>10.8</t>
  </si>
  <si>
    <t>University of California, Davis</t>
  </si>
  <si>
    <t>36,395</t>
  </si>
  <si>
    <t>13.6</t>
  </si>
  <si>
    <t>68</t>
  </si>
  <si>
    <t>University of California, Santa Barbara</t>
  </si>
  <si>
    <t>24,780</t>
  </si>
  <si>
    <t>28.2</t>
  </si>
  <si>
    <t>18%</t>
  </si>
  <si>
    <t>Ohio State University (Main campus)</t>
  </si>
  <si>
    <t>54,650</t>
  </si>
  <si>
    <t>12.1</t>
  </si>
  <si>
    <t>Emory University</t>
  </si>
  <si>
    <t>12,923</t>
  </si>
  <si>
    <t>4.0</t>
  </si>
  <si>
    <t>University of Minnesota</t>
  </si>
  <si>
    <t>61,994</t>
  </si>
  <si>
    <t>12.4</t>
  </si>
  <si>
    <t>11%</t>
  </si>
  <si>
    <t>90</t>
  </si>
  <si>
    <t>University of Maryland, College Park</t>
  </si>
  <si>
    <t>33,671</t>
  </si>
  <si>
    <t>16.6</t>
  </si>
  <si>
    <t>Purdue University West Lafayette</t>
  </si>
  <si>
    <t>41,573</t>
  </si>
  <si>
    <t>16.3</t>
  </si>
  <si>
    <t>22%</t>
  </si>
  <si>
    <t>University of California, Irvine</t>
  </si>
  <si>
    <t>35,040</t>
  </si>
  <si>
    <t>17.5</t>
  </si>
  <si>
    <t>Dartmouth College</t>
  </si>
  <si>
    <t>6,336</t>
  </si>
  <si>
    <t>7.6</t>
  </si>
  <si>
    <t>15%</t>
  </si>
  <si>
    <t>105</t>
  </si>
  <si>
    <t>Michigan State University</t>
  </si>
  <si>
    <t>44,618</t>
  </si>
  <si>
    <t>16.1</t>
  </si>
  <si>
    <t>Vanderbilt University</t>
  </si>
  <si>
    <t>12,139</t>
  </si>
  <si>
    <t>3.0</t>
  </si>
  <si>
    <t>54 : 46</t>
  </si>
  <si>
    <t>Penn State (Main campus)</t>
  </si>
  <si>
    <t>46,682</t>
  </si>
  <si>
    <t>11.0</t>
  </si>
  <si>
    <t>117</t>
  </si>
  <si>
    <t>University of Virginia (Main campus)</t>
  </si>
  <si>
    <t>24,879</t>
  </si>
  <si>
    <t>9.0</t>
  </si>
  <si>
    <t>120</t>
  </si>
  <si>
    <t>Georgetown University</t>
  </si>
  <si>
    <t>16,451</t>
  </si>
  <si>
    <t>8.5</t>
  </si>
  <si>
    <t>Case Western Reserve University</t>
  </si>
  <si>
    <t>10,774</t>
  </si>
  <si>
    <t>9.1</t>
  </si>
  <si>
    <t>University of Arizona</t>
  </si>
  <si>
    <t>39,635</t>
  </si>
  <si>
    <t>18.0</t>
  </si>
  <si>
    <t>9%</t>
  </si>
  <si>
    <t>Rice University</t>
  </si>
  <si>
    <t>6,805</t>
  </si>
  <si>
    <t>9.2</t>
  </si>
  <si>
    <t>42 : 58</t>
  </si>
  <si>
    <t>University of Colorado Boulder</t>
  </si>
  <si>
    <t>34,481</t>
  </si>
  <si>
    <t>University of Pittsburgh-Pittsburgh campus</t>
  </si>
  <si>
    <t>26,761</t>
  </si>
  <si>
    <t>Indiana University</t>
  </si>
  <si>
    <t>67,054</t>
  </si>
  <si>
    <t>15.0</t>
  </si>
  <si>
    <t>University of Rochester</t>
  </si>
  <si>
    <t>10,017</t>
  </si>
  <si>
    <t>4.9</t>
  </si>
  <si>
    <t>University of Florida</t>
  </si>
  <si>
    <t>46,632</t>
  </si>
  <si>
    <t>56 : 44</t>
  </si>
  <si>
    <t>Tufts University</t>
  </si>
  <si>
    <t>11,024</t>
  </si>
  <si>
    <t>9.7</t>
  </si>
  <si>
    <t>16%</t>
  </si>
  <si>
    <t>166</t>
  </si>
  <si>
    <t>Rutgers University – New Brunswick</t>
  </si>
  <si>
    <t>44,264</t>
  </si>
  <si>
    <t>169</t>
  </si>
  <si>
    <t>University of Alabama at Birmingham</t>
  </si>
  <si>
    <t>18,211</t>
  </si>
  <si>
    <t>17.3</t>
  </si>
  <si>
    <t>6%</t>
  </si>
  <si>
    <t>63 : 37</t>
  </si>
  <si>
    <t>University of Notre Dame</t>
  </si>
  <si>
    <t>12,149</t>
  </si>
  <si>
    <t>10.9</t>
  </si>
  <si>
    <t>12%</t>
  </si>
  <si>
    <t>Northeastern University, US</t>
  </si>
  <si>
    <t>20,711</t>
  </si>
  <si>
    <t>14.1</t>
  </si>
  <si>
    <t>36%</t>
  </si>
  <si>
    <t>Arizona State University (Tempe)
United States</t>
  </si>
  <si>
    <t>45,827</t>
  </si>
  <si>
    <t>19.7</t>
  </si>
  <si>
    <t>George Washington University</t>
  </si>
  <si>
    <t>23,788</t>
  </si>
  <si>
    <t>13.4</t>
  </si>
  <si>
    <t>60 : 40</t>
  </si>
  <si>
    <t>197</t>
  </si>
  <si>
    <t>Texas A&amp;M University</t>
  </si>
  <si>
    <t>62,070</t>
  </si>
  <si>
    <t>24.4</t>
  </si>
  <si>
    <t>201–250</t>
  </si>
  <si>
    <t>Brandeis University</t>
  </si>
  <si>
    <t>5,346</t>
  </si>
  <si>
    <t>12.7</t>
  </si>
  <si>
    <t>University of California, Santa Cruz</t>
  </si>
  <si>
    <t>19,457</t>
  </si>
  <si>
    <t>23.8</t>
  </si>
  <si>
    <t>University of Hawai’i at Mānoa</t>
  </si>
  <si>
    <t>14,732</t>
  </si>
  <si>
    <t>10.6</t>
  </si>
  <si>
    <t>Howard University</t>
  </si>
  <si>
    <t>8,766</t>
  </si>
  <si>
    <t>67 : 33</t>
  </si>
  <si>
    <t>University of Iowa</t>
  </si>
  <si>
    <t>29,406</t>
  </si>
  <si>
    <t>11.6</t>
  </si>
  <si>
    <t>University of Massachusetts</t>
  </si>
  <si>
    <t>61,958</t>
  </si>
  <si>
    <t>13.3</t>
  </si>
  <si>
    <t>University of Miami</t>
  </si>
  <si>
    <t>16,179</t>
  </si>
  <si>
    <t>University of South Florida (Tampa)</t>
  </si>
  <si>
    <t>34,839</t>
  </si>
  <si>
    <t>19.2</t>
  </si>
  <si>
    <t>University of Utah</t>
  </si>
  <si>
    <t>30,692</t>
  </si>
  <si>
    <t>14.8</t>
  </si>
  <si>
    <t>Virginia Polytechnic Institute and State University
United States</t>
  </si>
  <si>
    <t>34,155</t>
  </si>
  <si>
    <t>18.4</t>
  </si>
  <si>
    <t>14%</t>
  </si>
  <si>
    <t>251–300</t>
  </si>
  <si>
    <t>University at Buffalo</t>
  </si>
  <si>
    <t>26,341</t>
  </si>
  <si>
    <t>University of California, Riverside</t>
  </si>
  <si>
    <t>22,498</t>
  </si>
  <si>
    <t>17.7</t>
  </si>
  <si>
    <t>University of Cincinnati – Uptown</t>
  </si>
  <si>
    <t>29,309</t>
  </si>
  <si>
    <t>20.5</t>
  </si>
  <si>
    <t>Florida State University</t>
  </si>
  <si>
    <t>38,368</t>
  </si>
  <si>
    <t>25.8</t>
  </si>
  <si>
    <t>7%</t>
  </si>
  <si>
    <t>George Mason University</t>
  </si>
  <si>
    <t>30,500</t>
  </si>
  <si>
    <t>18.1</t>
  </si>
  <si>
    <t>University of Illinois Chicago</t>
  </si>
  <si>
    <t>27,031</t>
  </si>
  <si>
    <t>11.5</t>
  </si>
  <si>
    <t>University of New Mexico (Main campus)</t>
  </si>
  <si>
    <t>18,277</t>
  </si>
  <si>
    <t>5%</t>
  </si>
  <si>
    <t>Nova Southeastern University</t>
  </si>
  <si>
    <t>17,101</t>
  </si>
  <si>
    <t>21.2</t>
  </si>
  <si>
    <t>70 : 30</t>
  </si>
  <si>
    <t>Oregon Health and Science University</t>
  </si>
  <si>
    <t>2,999</t>
  </si>
  <si>
    <t>1.0</t>
  </si>
  <si>
    <t>3%</t>
  </si>
  <si>
    <t>66 : 34</t>
  </si>
  <si>
    <t>SUNY University at Albany</t>
  </si>
  <si>
    <t>16,078</t>
  </si>
  <si>
    <t>Wake Forest University</t>
  </si>
  <si>
    <t>7,804</t>
  </si>
  <si>
    <t>4.1</t>
  </si>
  <si>
    <t>William &amp; Mary</t>
  </si>
  <si>
    <t>8,278</t>
  </si>
  <si>
    <t>301–350</t>
  </si>
  <si>
    <t>Boston College</t>
  </si>
  <si>
    <t>12,921</t>
  </si>
  <si>
    <t>15.5</t>
  </si>
  <si>
    <t>University of California, Merced</t>
  </si>
  <si>
    <t>7,849</t>
  </si>
  <si>
    <t>University of Colorado Denver/Anschutz Medical Campus</t>
  </si>
  <si>
    <t>17,112</t>
  </si>
  <si>
    <t>University of Delaware</t>
  </si>
  <si>
    <t>21,564</t>
  </si>
  <si>
    <t>17.1</t>
  </si>
  <si>
    <t>Illinois Institute of Technology</t>
  </si>
  <si>
    <t>6,092</t>
  </si>
  <si>
    <t>14.5</t>
  </si>
  <si>
    <t>49%</t>
  </si>
  <si>
    <t>North Carolina State University</t>
  </si>
  <si>
    <t>29,966</t>
  </si>
  <si>
    <t>12.5</t>
  </si>
  <si>
    <t>University of Oregon</t>
  </si>
  <si>
    <t>22,019</t>
  </si>
  <si>
    <t>Rush University</t>
  </si>
  <si>
    <t>2,624</t>
  </si>
  <si>
    <t>2.2</t>
  </si>
  <si>
    <t>2%</t>
  </si>
  <si>
    <t>74 : 26</t>
  </si>
  <si>
    <t>Stony Brook University</t>
  </si>
  <si>
    <t>24,593</t>
  </si>
  <si>
    <t>Syracuse University</t>
  </si>
  <si>
    <t>20,484</t>
  </si>
  <si>
    <t>Temple University</t>
  </si>
  <si>
    <t>36,398</t>
  </si>
  <si>
    <t>13.1</t>
  </si>
  <si>
    <t>The University of Tennessee-Knoxville</t>
  </si>
  <si>
    <t>26,184</t>
  </si>
  <si>
    <t>University of Texas at Dallas</t>
  </si>
  <si>
    <t>23,587</t>
  </si>
  <si>
    <t>20.8</t>
  </si>
  <si>
    <t>Tulane University</t>
  </si>
  <si>
    <t>11,224</t>
  </si>
  <si>
    <t>Washington State University</t>
  </si>
  <si>
    <t>28,482</t>
  </si>
  <si>
    <t>351–400</t>
  </si>
  <si>
    <t>Drexel University</t>
  </si>
  <si>
    <t>20,140</t>
  </si>
  <si>
    <t>11.4</t>
  </si>
  <si>
    <t>University of Kansas</t>
  </si>
  <si>
    <t>24,467</t>
  </si>
  <si>
    <t>9.9</t>
  </si>
  <si>
    <t>Wayne State University</t>
  </si>
  <si>
    <t>22,359</t>
  </si>
  <si>
    <t>401–500</t>
  </si>
  <si>
    <t>University of Alaska Fairbanks</t>
  </si>
  <si>
    <t>3,342</t>
  </si>
  <si>
    <t>American University</t>
  </si>
  <si>
    <t>12,460</t>
  </si>
  <si>
    <t>13.5</t>
  </si>
  <si>
    <t>Clark University</t>
  </si>
  <si>
    <t>3,045</t>
  </si>
  <si>
    <t>Colorado School of Mines</t>
  </si>
  <si>
    <t>5,898</t>
  </si>
  <si>
    <t>17.2</t>
  </si>
  <si>
    <t>30 : 70</t>
  </si>
  <si>
    <t>Colorado State University, Fort Collins</t>
  </si>
  <si>
    <t>26,178</t>
  </si>
  <si>
    <t>University of Connecticut</t>
  </si>
  <si>
    <t>27,996</t>
  </si>
  <si>
    <t>13.2</t>
  </si>
  <si>
    <t>University of Denver</t>
  </si>
  <si>
    <t>9,397</t>
  </si>
  <si>
    <t>12.6</t>
  </si>
  <si>
    <t>Florida International University</t>
  </si>
  <si>
    <t>33,974</t>
  </si>
  <si>
    <t>23.7</t>
  </si>
  <si>
    <t>University of Georgia (USA)</t>
  </si>
  <si>
    <t>36,169</t>
  </si>
  <si>
    <t>Georgia State University</t>
  </si>
  <si>
    <t>30,633</t>
  </si>
  <si>
    <t>15.3</t>
  </si>
  <si>
    <t>Iowa State University</t>
  </si>
  <si>
    <t>31,814</t>
  </si>
  <si>
    <t>University of Kentucky</t>
  </si>
  <si>
    <t>26,839</t>
  </si>
  <si>
    <t>4%</t>
  </si>
  <si>
    <t>Missouri University of Science and Technology</t>
  </si>
  <si>
    <t>7,862</t>
  </si>
  <si>
    <t>21.6</t>
  </si>
  <si>
    <t>24 : 76</t>
  </si>
  <si>
    <t>Mizzou - University of Missouri</t>
  </si>
  <si>
    <t>26,446</t>
  </si>
  <si>
    <t>University of Nebraska-Lincoln</t>
  </si>
  <si>
    <t>24,677</t>
  </si>
  <si>
    <t>Oklahoma State University</t>
  </si>
  <si>
    <t>22,047</t>
  </si>
  <si>
    <t>15.4</t>
  </si>
  <si>
    <t>Oregon State University</t>
  </si>
  <si>
    <t>25,824</t>
  </si>
  <si>
    <t>University of South Carolina-Columbia</t>
  </si>
  <si>
    <t>32,445</t>
  </si>
  <si>
    <t>16.4</t>
  </si>
  <si>
    <t>The University of Tulsa</t>
  </si>
  <si>
    <t>4,209</t>
  </si>
  <si>
    <t>11.2</t>
  </si>
  <si>
    <t>501–600</t>
  </si>
  <si>
    <t>Hofstra University</t>
  </si>
  <si>
    <t>10,042</t>
  </si>
  <si>
    <t>University of Houston</t>
  </si>
  <si>
    <t>46,052</t>
  </si>
  <si>
    <t>26.0</t>
  </si>
  <si>
    <t>Louisiana State University</t>
  </si>
  <si>
    <t>28,221</t>
  </si>
  <si>
    <t>20.0</t>
  </si>
  <si>
    <t>University of Montana</t>
  </si>
  <si>
    <t>8,559</t>
  </si>
  <si>
    <t>16.2</t>
  </si>
  <si>
    <t>University of Nebraska Medical Center</t>
  </si>
  <si>
    <t>3,675</t>
  </si>
  <si>
    <t>2.6</t>
  </si>
  <si>
    <t>64 : 36</t>
  </si>
  <si>
    <t>New Jersey Institute of Technology</t>
  </si>
  <si>
    <t>9,284</t>
  </si>
  <si>
    <t>26 : 74</t>
  </si>
  <si>
    <t>Northern Arizona University</t>
  </si>
  <si>
    <t>30,486</t>
  </si>
  <si>
    <t>27.6</t>
  </si>
  <si>
    <t>61 : 39</t>
  </si>
  <si>
    <t>Rensselaer Polytechnic Institute</t>
  </si>
  <si>
    <t>7,417</t>
  </si>
  <si>
    <t>32 : 68</t>
  </si>
  <si>
    <t>Stevens Institute of Technology</t>
  </si>
  <si>
    <t>6,178</t>
  </si>
  <si>
    <t>17.9</t>
  </si>
  <si>
    <t>38%</t>
  </si>
  <si>
    <t>29 : 71</t>
  </si>
  <si>
    <t>SUNY Binghamton University</t>
  </si>
  <si>
    <t>17,959</t>
  </si>
  <si>
    <t>22.5</t>
  </si>
  <si>
    <t>The University of Texas at San Antonio</t>
  </si>
  <si>
    <t>25,892</t>
  </si>
  <si>
    <t>25.1</t>
  </si>
  <si>
    <t>601–800</t>
  </si>
  <si>
    <t>The University of Alabama</t>
  </si>
  <si>
    <t>36,027</t>
  </si>
  <si>
    <t>22.4</t>
  </si>
  <si>
    <t>University of Alabama in Huntsville</t>
  </si>
  <si>
    <t>7,672</t>
  </si>
  <si>
    <t>University of Arkansas</t>
  </si>
  <si>
    <t>25,238</t>
  </si>
  <si>
    <t>19.9</t>
  </si>
  <si>
    <t>Auburn University</t>
  </si>
  <si>
    <t>26,838</t>
  </si>
  <si>
    <t>19.0</t>
  </si>
  <si>
    <t>University of Central Florida</t>
  </si>
  <si>
    <t>58,425</t>
  </si>
  <si>
    <t>35.7</t>
  </si>
  <si>
    <t>Chapman University</t>
  </si>
  <si>
    <t>8,792</t>
  </si>
  <si>
    <t>12.8</t>
  </si>
  <si>
    <t>Clemson University</t>
  </si>
  <si>
    <t>22,236</t>
  </si>
  <si>
    <t>Creighton University</t>
  </si>
  <si>
    <t>8,430</t>
  </si>
  <si>
    <t>University of Idaho</t>
  </si>
  <si>
    <t>9,779</t>
  </si>
  <si>
    <t>Kansas State University</t>
  </si>
  <si>
    <t>21,036</t>
  </si>
  <si>
    <t>Lehigh University</t>
  </si>
  <si>
    <t>6,545</t>
  </si>
  <si>
    <t>45 : 55</t>
  </si>
  <si>
    <t>University of Maryland, Baltimore County</t>
  </si>
  <si>
    <t>11,808</t>
  </si>
  <si>
    <t>18.6</t>
  </si>
  <si>
    <t>University of Missouri-St Louis</t>
  </si>
  <si>
    <t>6,777</t>
  </si>
  <si>
    <t>Montana State University</t>
  </si>
  <si>
    <t>14,153</t>
  </si>
  <si>
    <t>17.6</t>
  </si>
  <si>
    <t>University of Nevada, Las Vegas</t>
  </si>
  <si>
    <t>25,690</t>
  </si>
  <si>
    <t>New Mexico State University (Main campus)</t>
  </si>
  <si>
    <t>12,400</t>
  </si>
  <si>
    <t>University of North Carolina at Greensboro</t>
  </si>
  <si>
    <t>19,105</t>
  </si>
  <si>
    <t>21.5</t>
  </si>
  <si>
    <t>Ohio University (Main campus)</t>
  </si>
  <si>
    <t>24,729</t>
  </si>
  <si>
    <t>23.0</t>
  </si>
  <si>
    <t>University of Rhode Island</t>
  </si>
  <si>
    <t>16,254</t>
  </si>
  <si>
    <t>San Diego State University</t>
  </si>
  <si>
    <t>31,109</t>
  </si>
  <si>
    <t>29.9</t>
  </si>
  <si>
    <t>University of Texas at Arlington</t>
  </si>
  <si>
    <t>29,817</t>
  </si>
  <si>
    <t>27.7</t>
  </si>
  <si>
    <t>Texas Tech University</t>
  </si>
  <si>
    <t>33,464</t>
  </si>
  <si>
    <t>20.9</t>
  </si>
  <si>
    <t>University of Toledo</t>
  </si>
  <si>
    <t>18,587</t>
  </si>
  <si>
    <t>Western Washington University</t>
  </si>
  <si>
    <t>15,050</t>
  </si>
  <si>
    <t>1%</t>
  </si>
  <si>
    <t>University of Wisconsin-Milwaukee</t>
  </si>
  <si>
    <t>20,490</t>
  </si>
  <si>
    <t>18.7</t>
  </si>
  <si>
    <t>Worcester Polytechnic Institute</t>
  </si>
  <si>
    <t>5,761</t>
  </si>
  <si>
    <t>35 : 65</t>
  </si>
  <si>
    <t>801–1000</t>
  </si>
  <si>
    <t>Baylor University</t>
  </si>
  <si>
    <t>17,274</t>
  </si>
  <si>
    <t>Bowling Green State University</t>
  </si>
  <si>
    <t>15,333</t>
  </si>
  <si>
    <t>Florida Agricultural and Mechanical University</t>
  </si>
  <si>
    <t>9,433</t>
  </si>
  <si>
    <t>Florida Atlantic University</t>
  </si>
  <si>
    <t>24,678</t>
  </si>
  <si>
    <t>18.5</t>
  </si>
  <si>
    <t>Florida Institute of Technology</t>
  </si>
  <si>
    <t>5,477</t>
  </si>
  <si>
    <t>14.3</t>
  </si>
  <si>
    <t>34 : 66</t>
  </si>
  <si>
    <t>Kent State University</t>
  </si>
  <si>
    <t>23,764</t>
  </si>
  <si>
    <t>Louisiana Tech University</t>
  </si>
  <si>
    <t>10,602</t>
  </si>
  <si>
    <t>25.4</t>
  </si>
  <si>
    <t>Marquette University</t>
  </si>
  <si>
    <t>10,650</t>
  </si>
  <si>
    <t>11.9</t>
  </si>
  <si>
    <t>University of Memphis</t>
  </si>
  <si>
    <t>16,460</t>
  </si>
  <si>
    <t>14.2</t>
  </si>
  <si>
    <t>Miami University</t>
  </si>
  <si>
    <t>18,301</t>
  </si>
  <si>
    <t>25.2</t>
  </si>
  <si>
    <t>Mississippi State University</t>
  </si>
  <si>
    <t>26,823</t>
  </si>
  <si>
    <t>19.1</t>
  </si>
  <si>
    <t>The New School</t>
  </si>
  <si>
    <t>10,554</t>
  </si>
  <si>
    <t>9.5</t>
  </si>
  <si>
    <t>35%</t>
  </si>
  <si>
    <t>72 : 28</t>
  </si>
  <si>
    <t>Old Dominion University</t>
  </si>
  <si>
    <t>18,811</t>
  </si>
  <si>
    <t>18.2</t>
  </si>
  <si>
    <t>Portland State University</t>
  </si>
  <si>
    <t>20,202</t>
  </si>
  <si>
    <t>Rochester Institute of Technology</t>
  </si>
  <si>
    <t>14,093</t>
  </si>
  <si>
    <t>15.7</t>
  </si>
  <si>
    <t>University of South Dakota</t>
  </si>
  <si>
    <t>7,282</t>
  </si>
  <si>
    <t>15.8</t>
  </si>
  <si>
    <t>Southern Illinois University Carbondale</t>
  </si>
  <si>
    <t>11,158</t>
  </si>
  <si>
    <t>14.9</t>
  </si>
  <si>
    <t>University of Texas at El Paso</t>
  </si>
  <si>
    <t>17,883</t>
  </si>
  <si>
    <t>1001+</t>
  </si>
  <si>
    <t>California State University, Long Beach</t>
  </si>
  <si>
    <t>30,440</t>
  </si>
  <si>
    <t>19.5</t>
  </si>
  <si>
    <t>East Carolina University</t>
  </si>
  <si>
    <t>26,230</t>
  </si>
  <si>
    <t>James Madison University</t>
  </si>
  <si>
    <t>21,315</t>
  </si>
  <si>
    <t>Morgan State University</t>
  </si>
  <si>
    <t>7,120</t>
  </si>
  <si>
    <t>13.8</t>
  </si>
  <si>
    <t>University of North Carolina Wilmington</t>
  </si>
  <si>
    <t>14,865</t>
  </si>
  <si>
    <t>18.8</t>
  </si>
  <si>
    <t>62 : 38</t>
  </si>
  <si>
    <t>Oakland University</t>
  </si>
  <si>
    <t>15,441</t>
  </si>
  <si>
    <t>Texas State University</t>
  </si>
  <si>
    <t>31,872</t>
  </si>
  <si>
    <t>19.4</t>
  </si>
  <si>
    <t>Western Michigan University</t>
  </si>
  <si>
    <t>19,273</t>
  </si>
  <si>
    <t>21.8</t>
  </si>
  <si>
    <t>Overall</t>
  </si>
  <si>
    <t>Teaching</t>
  </si>
  <si>
    <t>Research</t>
  </si>
  <si>
    <t>Citations</t>
  </si>
  <si>
    <t>Industry Income</t>
  </si>
  <si>
    <t>International Outlook</t>
  </si>
  <si>
    <t>94.9</t>
  </si>
  <si>
    <t>92.2</t>
  </si>
  <si>
    <t>96.7</t>
  </si>
  <si>
    <t>99.9</t>
  </si>
  <si>
    <t>90.1</t>
  </si>
  <si>
    <t>79.5</t>
  </si>
  <si>
    <t>94.8</t>
  </si>
  <si>
    <t>94.4</t>
  </si>
  <si>
    <t>98.8</t>
  </si>
  <si>
    <t>99.4</t>
  </si>
  <si>
    <t>46.8</t>
  </si>
  <si>
    <t>77.7</t>
  </si>
  <si>
    <t>94.5</t>
  </si>
  <si>
    <t>92.5</t>
  </si>
  <si>
    <t>96.9</t>
  </si>
  <si>
    <t>97.0</t>
  </si>
  <si>
    <t>92.7</t>
  </si>
  <si>
    <t>83.6</t>
  </si>
  <si>
    <t>90.7</t>
  </si>
  <si>
    <t>99.7</t>
  </si>
  <si>
    <t>90.4</t>
  </si>
  <si>
    <t>90.0</t>
  </si>
  <si>
    <t>85.8</t>
  </si>
  <si>
    <t>97.2</t>
  </si>
  <si>
    <t>99.1</t>
  </si>
  <si>
    <t>84.3</t>
  </si>
  <si>
    <t>72.3</t>
  </si>
  <si>
    <t>91.6</t>
  </si>
  <si>
    <t>91.9</t>
  </si>
  <si>
    <t>93.8</t>
  </si>
  <si>
    <t>97.9</t>
  </si>
  <si>
    <t>56.1</t>
  </si>
  <si>
    <t>68.4</t>
  </si>
  <si>
    <t>91.5</t>
  </si>
  <si>
    <t>88.8</t>
  </si>
  <si>
    <t>98.9</t>
  </si>
  <si>
    <t>58.0</t>
  </si>
  <si>
    <t>80.2</t>
  </si>
  <si>
    <t>90.3</t>
  </si>
  <si>
    <t>88.9</t>
  </si>
  <si>
    <t>90.5</t>
  </si>
  <si>
    <t>98.6</t>
  </si>
  <si>
    <t>54.9</t>
  </si>
  <si>
    <t>74.0</t>
  </si>
  <si>
    <t>89.2</t>
  </si>
  <si>
    <t>81.6</t>
  </si>
  <si>
    <t>91.8</t>
  </si>
  <si>
    <t>97.7</t>
  </si>
  <si>
    <t>93.4</t>
  </si>
  <si>
    <t>73.9</t>
  </si>
  <si>
    <t>85.4</t>
  </si>
  <si>
    <t>89.9</t>
  </si>
  <si>
    <t>98.1</t>
  </si>
  <si>
    <t>77.9</t>
  </si>
  <si>
    <t>66.3</t>
  </si>
  <si>
    <t>87.1</t>
  </si>
  <si>
    <t>82.5</t>
  </si>
  <si>
    <t>90.2</t>
  </si>
  <si>
    <t>96.5</t>
  </si>
  <si>
    <t>57.6</t>
  </si>
  <si>
    <t>65.3</t>
  </si>
  <si>
    <t>86.8</t>
  </si>
  <si>
    <t>85.1</t>
  </si>
  <si>
    <t>82.9</t>
  </si>
  <si>
    <t>45.0</t>
  </si>
  <si>
    <t>79.8</t>
  </si>
  <si>
    <t>85.3</t>
  </si>
  <si>
    <t>78.8</t>
  </si>
  <si>
    <t>86.7</t>
  </si>
  <si>
    <t>36.3</t>
  </si>
  <si>
    <t>73.7</t>
  </si>
  <si>
    <t>84.8</t>
  </si>
  <si>
    <t>80.7</t>
  </si>
  <si>
    <t>80.4</t>
  </si>
  <si>
    <t>65.5</t>
  </si>
  <si>
    <t>84.0</t>
  </si>
  <si>
    <t>79.0</t>
  </si>
  <si>
    <t>86.9</t>
  </si>
  <si>
    <t>95.4</t>
  </si>
  <si>
    <t>47.2</t>
  </si>
  <si>
    <t>59.6</t>
  </si>
  <si>
    <t>74.9</t>
  </si>
  <si>
    <t>98.2</t>
  </si>
  <si>
    <t>69.9</t>
  </si>
  <si>
    <t>64.5</t>
  </si>
  <si>
    <t>81.9</t>
  </si>
  <si>
    <t>76.1</t>
  </si>
  <si>
    <t>80.6</t>
  </si>
  <si>
    <t>96.0</t>
  </si>
  <si>
    <t>37.3</t>
  </si>
  <si>
    <t>69.6</t>
  </si>
  <si>
    <t>81.0</t>
  </si>
  <si>
    <t>65.1</t>
  </si>
  <si>
    <t>81.3</t>
  </si>
  <si>
    <t>53.3</t>
  </si>
  <si>
    <t>80.5</t>
  </si>
  <si>
    <t>69.8</t>
  </si>
  <si>
    <t>98.7</t>
  </si>
  <si>
    <t>45.6</t>
  </si>
  <si>
    <t>60.9</t>
  </si>
  <si>
    <t>60.3</t>
  </si>
  <si>
    <t>94.3</t>
  </si>
  <si>
    <t>95.6</t>
  </si>
  <si>
    <t>64.4</t>
  </si>
  <si>
    <t>75.8</t>
  </si>
  <si>
    <t>59.5</t>
  </si>
  <si>
    <t>76.8</t>
  </si>
  <si>
    <t>91.1</t>
  </si>
  <si>
    <t>65.8</t>
  </si>
  <si>
    <t>78.9</t>
  </si>
  <si>
    <t>67.9</t>
  </si>
  <si>
    <t>74.8</t>
  </si>
  <si>
    <t>46.2</t>
  </si>
  <si>
    <t>39.4</t>
  </si>
  <si>
    <t>62.5</t>
  </si>
  <si>
    <t>79.1</t>
  </si>
  <si>
    <t>49.5</t>
  </si>
  <si>
    <t>55.1</t>
  </si>
  <si>
    <t>71.4</t>
  </si>
  <si>
    <t>68.2</t>
  </si>
  <si>
    <t>48.4</t>
  </si>
  <si>
    <t>71.1</t>
  </si>
  <si>
    <t>61.2</t>
  </si>
  <si>
    <t>58.7</t>
  </si>
  <si>
    <t>99.0</t>
  </si>
  <si>
    <t>40.4</t>
  </si>
  <si>
    <t>59.1</t>
  </si>
  <si>
    <t>70.4</t>
  </si>
  <si>
    <t>63.8</t>
  </si>
  <si>
    <t>58.4</t>
  </si>
  <si>
    <t>93.1</t>
  </si>
  <si>
    <t>39.2</t>
  </si>
  <si>
    <t>64.9</t>
  </si>
  <si>
    <t>70.3</t>
  </si>
  <si>
    <t>58.9</t>
  </si>
  <si>
    <t>41.7</t>
  </si>
  <si>
    <t>70.1</t>
  </si>
  <si>
    <t>60.6</t>
  </si>
  <si>
    <t>63.3</t>
  </si>
  <si>
    <t>96.3</t>
  </si>
  <si>
    <t>42.5</t>
  </si>
  <si>
    <t>39.7</t>
  </si>
  <si>
    <t>69.5</t>
  </si>
  <si>
    <t>62.4</t>
  </si>
  <si>
    <t>56.6</t>
  </si>
  <si>
    <t>94.0</t>
  </si>
  <si>
    <t>36.1</t>
  </si>
  <si>
    <t>62.3</t>
  </si>
  <si>
    <t>68.9</t>
  </si>
  <si>
    <t>60.5</t>
  </si>
  <si>
    <t>66.2</t>
  </si>
  <si>
    <t>50.4</t>
  </si>
  <si>
    <t>66.9</t>
  </si>
  <si>
    <t>45.8</t>
  </si>
  <si>
    <t>81.8</t>
  </si>
  <si>
    <t>70.0</t>
  </si>
  <si>
    <t>55.6</t>
  </si>
  <si>
    <t>54.2</t>
  </si>
  <si>
    <t>87.9</t>
  </si>
  <si>
    <t>60.1</t>
  </si>
  <si>
    <t>63.7</t>
  </si>
  <si>
    <t>53.9</t>
  </si>
  <si>
    <t>41.1</t>
  </si>
  <si>
    <t>46.7</t>
  </si>
  <si>
    <t>59.2</t>
  </si>
  <si>
    <t>59.0</t>
  </si>
  <si>
    <t>81.4</t>
  </si>
  <si>
    <t>80.3</t>
  </si>
  <si>
    <t>40.7</t>
  </si>
  <si>
    <t>63.1</t>
  </si>
  <si>
    <t>47.4</t>
  </si>
  <si>
    <t>58.8</t>
  </si>
  <si>
    <t>38.9</t>
  </si>
  <si>
    <t>42.9</t>
  </si>
  <si>
    <t>57.1</t>
  </si>
  <si>
    <t>62.0</t>
  </si>
  <si>
    <t>71.5</t>
  </si>
  <si>
    <t>62.1</t>
  </si>
  <si>
    <t>43.5</t>
  </si>
  <si>
    <t>47.5</t>
  </si>
  <si>
    <t>93.5</t>
  </si>
  <si>
    <t>53.2</t>
  </si>
  <si>
    <t>72.4</t>
  </si>
  <si>
    <t>61.7</t>
  </si>
  <si>
    <t>57.8</t>
  </si>
  <si>
    <t>95.3</t>
  </si>
  <si>
    <t>37.8</t>
  </si>
  <si>
    <t>61.5</t>
  </si>
  <si>
    <t>53.1</t>
  </si>
  <si>
    <t>36.4</t>
  </si>
  <si>
    <t>63.6</t>
  </si>
  <si>
    <t>61.0</t>
  </si>
  <si>
    <t>48.9</t>
  </si>
  <si>
    <t>44.5</t>
  </si>
  <si>
    <t>94.6</t>
  </si>
  <si>
    <t>53.5</t>
  </si>
  <si>
    <t>43.6</t>
  </si>
  <si>
    <t>52.6</t>
  </si>
  <si>
    <t>76.9</t>
  </si>
  <si>
    <t>36.9</t>
  </si>
  <si>
    <t>46.9</t>
  </si>
  <si>
    <t>52.1</t>
  </si>
  <si>
    <t>43.3</t>
  </si>
  <si>
    <t>41.9</t>
  </si>
  <si>
    <t>50.2</t>
  </si>
  <si>
    <t>54.5</t>
  </si>
  <si>
    <t>33.8</t>
  </si>
  <si>
    <t>94.7</t>
  </si>
  <si>
    <t>65.7</t>
  </si>
  <si>
    <t>60.0</t>
  </si>
  <si>
    <t>47.3</t>
  </si>
  <si>
    <t>41.0</t>
  </si>
  <si>
    <t>95.0</t>
  </si>
  <si>
    <t>59.8</t>
  </si>
  <si>
    <t>47.6</t>
  </si>
  <si>
    <t>51.7</t>
  </si>
  <si>
    <t>85.6</t>
  </si>
  <si>
    <t>50.3</t>
  </si>
  <si>
    <t>48.0</t>
  </si>
  <si>
    <t>38.4</t>
  </si>
  <si>
    <t>77.3</t>
  </si>
  <si>
    <t>43.8</t>
  </si>
  <si>
    <t>45.9</t>
  </si>
  <si>
    <t>91.3</t>
  </si>
  <si>
    <t>42.0</t>
  </si>
  <si>
    <t>45.5</t>
  </si>
  <si>
    <t>42.8</t>
  </si>
  <si>
    <t>93.9</t>
  </si>
  <si>
    <t>40.6</t>
  </si>
  <si>
    <t>58.2</t>
  </si>
  <si>
    <t>49.8</t>
  </si>
  <si>
    <t>48.8</t>
  </si>
  <si>
    <t>77.8</t>
  </si>
  <si>
    <t>53.6</t>
  </si>
  <si>
    <t>45.4</t>
  </si>
  <si>
    <t>35.2</t>
  </si>
  <si>
    <t>91.2</t>
  </si>
  <si>
    <t>41.4</t>
  </si>
  <si>
    <t>57.4</t>
  </si>
  <si>
    <t>60.4</t>
  </si>
  <si>
    <t>61.9</t>
  </si>
  <si>
    <t>40.5</t>
  </si>
  <si>
    <t>57.3</t>
  </si>
  <si>
    <t>33.0</t>
  </si>
  <si>
    <t>95.5</t>
  </si>
  <si>
    <t>38.5</t>
  </si>
  <si>
    <t>50.0</t>
  </si>
  <si>
    <t>56.4</t>
  </si>
  <si>
    <t>48.5</t>
  </si>
  <si>
    <t>52.5</t>
  </si>
  <si>
    <t>56.2</t>
  </si>
  <si>
    <t>35.5</t>
  </si>
  <si>
    <t>97.4</t>
  </si>
  <si>
    <t>78.6</t>
  </si>
  <si>
    <t>56.0</t>
  </si>
  <si>
    <t>38.1</t>
  </si>
  <si>
    <t>55.8</t>
  </si>
  <si>
    <t>36.7</t>
  </si>
  <si>
    <t>29.1</t>
  </si>
  <si>
    <t>36.5</t>
  </si>
  <si>
    <t>76.0</t>
  </si>
  <si>
    <t>55.2</t>
  </si>
  <si>
    <t>38.2</t>
  </si>
  <si>
    <t>47.8</t>
  </si>
  <si>
    <t>37.1</t>
  </si>
  <si>
    <t>62.8</t>
  </si>
  <si>
    <t>33.3</t>
  </si>
  <si>
    <t>34.4</t>
  </si>
  <si>
    <t>55.9</t>
  </si>
  <si>
    <t>51.6</t>
  </si>
  <si>
    <t>64.8</t>
  </si>
  <si>
    <t>44.9</t>
  </si>
  <si>
    <t>50.6–54.2</t>
  </si>
  <si>
    <t>28.1</t>
  </si>
  <si>
    <t>34.7</t>
  </si>
  <si>
    <t>31.4</t>
  </si>
  <si>
    <t>31.9</t>
  </si>
  <si>
    <t>96.2</t>
  </si>
  <si>
    <t>37.0</t>
  </si>
  <si>
    <t>39.3</t>
  </si>
  <si>
    <t>43.9</t>
  </si>
  <si>
    <t>17.0</t>
  </si>
  <si>
    <t>99.5</t>
  </si>
  <si>
    <t>35.0</t>
  </si>
  <si>
    <t>42.3</t>
  </si>
  <si>
    <t>30.2</t>
  </si>
  <si>
    <t>50.6</t>
  </si>
  <si>
    <t>46.1</t>
  </si>
  <si>
    <t>32.0</t>
  </si>
  <si>
    <t>88.3</t>
  </si>
  <si>
    <t>50.7</t>
  </si>
  <si>
    <t>64.1</t>
  </si>
  <si>
    <t>45.1</t>
  </si>
  <si>
    <t>25.0</t>
  </si>
  <si>
    <t>31.1</t>
  </si>
  <si>
    <t>87.4</t>
  </si>
  <si>
    <t>93.2</t>
  </si>
  <si>
    <t>38.3</t>
  </si>
  <si>
    <t>31.8</t>
  </si>
  <si>
    <t>86.6</t>
  </si>
  <si>
    <t>32.8</t>
  </si>
  <si>
    <t>36.2</t>
  </si>
  <si>
    <t>42.4</t>
  </si>
  <si>
    <t>72.5</t>
  </si>
  <si>
    <t>48.0–50.5</t>
  </si>
  <si>
    <t>36.8</t>
  </si>
  <si>
    <t>34.0</t>
  </si>
  <si>
    <t>73.1</t>
  </si>
  <si>
    <t>44.7</t>
  </si>
  <si>
    <t>64.6</t>
  </si>
  <si>
    <t>31.2</t>
  </si>
  <si>
    <t>30.3</t>
  </si>
  <si>
    <t>85.0</t>
  </si>
  <si>
    <t>37.5</t>
  </si>
  <si>
    <t>35.8</t>
  </si>
  <si>
    <t>83.8</t>
  </si>
  <si>
    <t>37.9</t>
  </si>
  <si>
    <t>40.1</t>
  </si>
  <si>
    <t>38.7</t>
  </si>
  <si>
    <t>31.0</t>
  </si>
  <si>
    <t>28.9</t>
  </si>
  <si>
    <t>43.7</t>
  </si>
  <si>
    <t>42.6</t>
  </si>
  <si>
    <t>55.7</t>
  </si>
  <si>
    <t>39.8</t>
  </si>
  <si>
    <t>82.3</t>
  </si>
  <si>
    <t>33.5</t>
  </si>
  <si>
    <t>99.8</t>
  </si>
  <si>
    <t>29.3</t>
  </si>
  <si>
    <t>17.4</t>
  </si>
  <si>
    <t>27.8</t>
  </si>
  <si>
    <t>24.2</t>
  </si>
  <si>
    <t>27.5</t>
  </si>
  <si>
    <t>93.3</t>
  </si>
  <si>
    <t>39.1</t>
  </si>
  <si>
    <t>89.1</t>
  </si>
  <si>
    <t>42.2</t>
  </si>
  <si>
    <t>32.6</t>
  </si>
  <si>
    <t>84.7</t>
  </si>
  <si>
    <t>34.5</t>
  </si>
  <si>
    <t>45.6–47.9</t>
  </si>
  <si>
    <t>48.2</t>
  </si>
  <si>
    <t>44.0</t>
  </si>
  <si>
    <t>95.2</t>
  </si>
  <si>
    <t>38.8</t>
  </si>
  <si>
    <t>32.7</t>
  </si>
  <si>
    <t>94.2</t>
  </si>
  <si>
    <t>27.9</t>
  </si>
  <si>
    <t>69.1</t>
  </si>
  <si>
    <t>95.1</t>
  </si>
  <si>
    <t>27.3</t>
  </si>
  <si>
    <t>75.7</t>
  </si>
  <si>
    <t>36.6</t>
  </si>
  <si>
    <t>83.1</t>
  </si>
  <si>
    <t>34.3</t>
  </si>
  <si>
    <t>35.9</t>
  </si>
  <si>
    <t>39.9</t>
  </si>
  <si>
    <t>14.6</t>
  </si>
  <si>
    <t>21.3</t>
  </si>
  <si>
    <t>24.5</t>
  </si>
  <si>
    <t>78.4</t>
  </si>
  <si>
    <t>71.8</t>
  </si>
  <si>
    <t>28.3</t>
  </si>
  <si>
    <t>34.9</t>
  </si>
  <si>
    <t>49.6</t>
  </si>
  <si>
    <t>25.3</t>
  </si>
  <si>
    <t>33.1</t>
  </si>
  <si>
    <t>81.1</t>
  </si>
  <si>
    <t>39.6</t>
  </si>
  <si>
    <t>24.1</t>
  </si>
  <si>
    <t>78.2</t>
  </si>
  <si>
    <t>43.2</t>
  </si>
  <si>
    <t>32.1</t>
  </si>
  <si>
    <t>30.5</t>
  </si>
  <si>
    <t>49.4</t>
  </si>
  <si>
    <t>49.3</t>
  </si>
  <si>
    <t>43.6–45.5</t>
  </si>
  <si>
    <t>22.3</t>
  </si>
  <si>
    <t>73.0</t>
  </si>
  <si>
    <t>43.0</t>
  </si>
  <si>
    <t>24.8</t>
  </si>
  <si>
    <t>33.6</t>
  </si>
  <si>
    <t>48.1</t>
  </si>
  <si>
    <t>37.4</t>
  </si>
  <si>
    <t>39.8–43.5</t>
  </si>
  <si>
    <t>28.8</t>
  </si>
  <si>
    <t>67.3</t>
  </si>
  <si>
    <t>41.3</t>
  </si>
  <si>
    <t>39.5</t>
  </si>
  <si>
    <t>34.6</t>
  </si>
  <si>
    <t>23.9</t>
  </si>
  <si>
    <t>22.2</t>
  </si>
  <si>
    <t>73.5</t>
  </si>
  <si>
    <t>30.8</t>
  </si>
  <si>
    <t>26.2</t>
  </si>
  <si>
    <t>46.0</t>
  </si>
  <si>
    <t>24.7</t>
  </si>
  <si>
    <t>39.0</t>
  </si>
  <si>
    <t>53.0</t>
  </si>
  <si>
    <t>40.2</t>
  </si>
  <si>
    <t>22.8</t>
  </si>
  <si>
    <t>30.6</t>
  </si>
  <si>
    <t>27.1</t>
  </si>
  <si>
    <t>67.1</t>
  </si>
  <si>
    <t>40.3</t>
  </si>
  <si>
    <t>51.4</t>
  </si>
  <si>
    <t>46.3</t>
  </si>
  <si>
    <t>26.9</t>
  </si>
  <si>
    <t>30.7</t>
  </si>
  <si>
    <t>32.3</t>
  </si>
  <si>
    <t>57.0</t>
  </si>
  <si>
    <t>26.6</t>
  </si>
  <si>
    <t>25.5</t>
  </si>
  <si>
    <t>66.8</t>
  </si>
  <si>
    <t>54.6</t>
  </si>
  <si>
    <t>65.9</t>
  </si>
  <si>
    <t>35.3</t>
  </si>
  <si>
    <t>25.7</t>
  </si>
  <si>
    <t>64.2</t>
  </si>
  <si>
    <t>34.8</t>
  </si>
  <si>
    <t>41.5</t>
  </si>
  <si>
    <t>26.1</t>
  </si>
  <si>
    <t>62.9</t>
  </si>
  <si>
    <t>28.6</t>
  </si>
  <si>
    <t>20.4</t>
  </si>
  <si>
    <t>75.0</t>
  </si>
  <si>
    <t>44.1</t>
  </si>
  <si>
    <t>29.6</t>
  </si>
  <si>
    <t>29.5</t>
  </si>
  <si>
    <t>65.6</t>
  </si>
  <si>
    <t>44.6</t>
  </si>
  <si>
    <t>71.7</t>
  </si>
  <si>
    <t>37.6</t>
  </si>
  <si>
    <t>36.4–39.7</t>
  </si>
  <si>
    <t>15.1</t>
  </si>
  <si>
    <t>79.7</t>
  </si>
  <si>
    <t>30.9</t>
  </si>
  <si>
    <t>54.4</t>
  </si>
  <si>
    <t>43.4</t>
  </si>
  <si>
    <t>23.2</t>
  </si>
  <si>
    <t>28.0</t>
  </si>
  <si>
    <t>45.2</t>
  </si>
  <si>
    <t>22.6</t>
  </si>
  <si>
    <t>58.3</t>
  </si>
  <si>
    <t>35.4</t>
  </si>
  <si>
    <t>86.0</t>
  </si>
  <si>
    <t>83.9</t>
  </si>
  <si>
    <t>25.9</t>
  </si>
  <si>
    <t>70.6</t>
  </si>
  <si>
    <t>19.3</t>
  </si>
  <si>
    <t>20.1</t>
  </si>
  <si>
    <t>70.8</t>
  </si>
  <si>
    <t>30.2–36.3</t>
  </si>
  <si>
    <t>70.2</t>
  </si>
  <si>
    <t>36.0</t>
  </si>
  <si>
    <t>29.8</t>
  </si>
  <si>
    <t>21.4</t>
  </si>
  <si>
    <t>40.0</t>
  </si>
  <si>
    <t>45.7</t>
  </si>
  <si>
    <t>33.2</t>
  </si>
  <si>
    <t>38.6</t>
  </si>
  <si>
    <t>21.0</t>
  </si>
  <si>
    <t>12.2</t>
  </si>
  <si>
    <t>32.5</t>
  </si>
  <si>
    <t>24.3</t>
  </si>
  <si>
    <t>20.7</t>
  </si>
  <si>
    <t>52.4</t>
  </si>
  <si>
    <t>63.4</t>
  </si>
  <si>
    <t>22.9</t>
  </si>
  <si>
    <t>59.4</t>
  </si>
  <si>
    <t>57.9</t>
  </si>
  <si>
    <t>20.2</t>
  </si>
  <si>
    <t>18.3</t>
  </si>
  <si>
    <t>42.7</t>
  </si>
  <si>
    <t>27.2</t>
  </si>
  <si>
    <t>34.1</t>
  </si>
  <si>
    <t>49.7</t>
  </si>
  <si>
    <t>28.7</t>
  </si>
  <si>
    <t>23.1</t>
  </si>
  <si>
    <t>33.4</t>
  </si>
  <si>
    <t>38.0</t>
  </si>
  <si>
    <t>53.8</t>
  </si>
  <si>
    <t>46.6</t>
  </si>
  <si>
    <t>20.3</t>
  </si>
  <si>
    <t>49.2</t>
  </si>
  <si>
    <t>31.6</t>
  </si>
  <si>
    <t>46.4</t>
  </si>
  <si>
    <t>15.9</t>
  </si>
  <si>
    <t>26.4</t>
  </si>
  <si>
    <t>22.7</t>
  </si>
  <si>
    <t>56.8</t>
  </si>
  <si>
    <t>54.3</t>
  </si>
  <si>
    <t>25.1–30.1</t>
  </si>
  <si>
    <t>29.7</t>
  </si>
  <si>
    <t>35.6</t>
  </si>
  <si>
    <t>33.9</t>
  </si>
  <si>
    <t>19.6</t>
  </si>
  <si>
    <t>44.8</t>
  </si>
  <si>
    <t>23.4</t>
  </si>
  <si>
    <t>14.4</t>
  </si>
  <si>
    <t>32.9</t>
  </si>
  <si>
    <t>48.3</t>
  </si>
  <si>
    <t>35.1</t>
  </si>
  <si>
    <t>21.9</t>
  </si>
  <si>
    <t>21.1</t>
  </si>
  <si>
    <t>28.4</t>
  </si>
  <si>
    <t>50.1</t>
  </si>
  <si>
    <t>44.4</t>
  </si>
  <si>
    <t>40.8</t>
  </si>
  <si>
    <t>41.8</t>
  </si>
  <si>
    <t>34.2</t>
  </si>
  <si>
    <t>31.3</t>
  </si>
  <si>
    <t>18.9</t>
  </si>
  <si>
    <t>37.7</t>
  </si>
  <si>
    <t>10.3–25.0</t>
  </si>
  <si>
    <t>11.3</t>
  </si>
  <si>
    <t>29.0</t>
  </si>
  <si>
    <t>22.1</t>
  </si>
  <si>
    <t>29.2</t>
  </si>
  <si>
    <t>48.7</t>
  </si>
  <si>
    <t>13.9</t>
  </si>
  <si>
    <t>16.5</t>
  </si>
  <si>
    <t>32.4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</si>
</sst>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tabSelected="1" workbookViewId="0">
      <selection activeCell="P8" sqref="P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622</v>
      </c>
      <c r="H2" t="s">
        <v>623</v>
      </c>
      <c r="I2" t="s">
        <v>624</v>
      </c>
      <c r="J2" t="s">
        <v>625</v>
      </c>
      <c r="K2" t="s">
        <v>626</v>
      </c>
      <c r="L2" t="s">
        <v>627</v>
      </c>
      <c r="M2" t="s">
        <v>13</v>
      </c>
    </row>
    <row r="3" spans="1:13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628</v>
      </c>
      <c r="H3" t="s">
        <v>629</v>
      </c>
      <c r="I3" t="s">
        <v>630</v>
      </c>
      <c r="J3" t="s">
        <v>631</v>
      </c>
      <c r="K3" t="s">
        <v>632</v>
      </c>
      <c r="L3" t="s">
        <v>633</v>
      </c>
      <c r="M3" t="s">
        <v>13</v>
      </c>
    </row>
    <row r="4" spans="1:13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634</v>
      </c>
      <c r="H4" t="s">
        <v>635</v>
      </c>
      <c r="I4" t="s">
        <v>636</v>
      </c>
      <c r="J4" t="s">
        <v>637</v>
      </c>
      <c r="K4" t="s">
        <v>638</v>
      </c>
      <c r="L4" t="s">
        <v>639</v>
      </c>
      <c r="M4" t="s">
        <v>13</v>
      </c>
    </row>
    <row r="5" spans="1:13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629</v>
      </c>
      <c r="H5" t="s">
        <v>640</v>
      </c>
      <c r="I5" t="s">
        <v>629</v>
      </c>
      <c r="J5" t="s">
        <v>641</v>
      </c>
      <c r="K5" t="s">
        <v>642</v>
      </c>
      <c r="L5" t="s">
        <v>643</v>
      </c>
      <c r="M5" t="s">
        <v>13</v>
      </c>
    </row>
    <row r="6" spans="1:13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623</v>
      </c>
      <c r="H6" t="s">
        <v>644</v>
      </c>
      <c r="I6" t="s">
        <v>645</v>
      </c>
      <c r="J6" t="s">
        <v>646</v>
      </c>
      <c r="K6" t="s">
        <v>647</v>
      </c>
      <c r="L6" t="s">
        <v>648</v>
      </c>
      <c r="M6" t="s">
        <v>13</v>
      </c>
    </row>
    <row r="7" spans="1:13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649</v>
      </c>
      <c r="H7" t="s">
        <v>650</v>
      </c>
      <c r="I7" t="s">
        <v>651</v>
      </c>
      <c r="J7" t="s">
        <v>652</v>
      </c>
      <c r="K7" t="s">
        <v>653</v>
      </c>
      <c r="L7" t="s">
        <v>654</v>
      </c>
      <c r="M7" t="s">
        <v>13</v>
      </c>
    </row>
    <row r="8" spans="1:13" x14ac:dyDescent="0.3">
      <c r="A8" t="s">
        <v>44</v>
      </c>
      <c r="B8" t="s">
        <v>45</v>
      </c>
      <c r="C8" t="s">
        <v>46</v>
      </c>
      <c r="D8" t="s">
        <v>47</v>
      </c>
      <c r="E8" t="s">
        <v>11</v>
      </c>
      <c r="F8" t="s">
        <v>48</v>
      </c>
      <c r="G8" t="s">
        <v>655</v>
      </c>
      <c r="H8" t="s">
        <v>656</v>
      </c>
      <c r="I8" t="s">
        <v>635</v>
      </c>
      <c r="J8" t="s">
        <v>657</v>
      </c>
      <c r="K8" t="s">
        <v>658</v>
      </c>
      <c r="L8" t="s">
        <v>659</v>
      </c>
      <c r="M8" t="s">
        <v>13</v>
      </c>
    </row>
    <row r="9" spans="1:13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48</v>
      </c>
      <c r="G9" t="s">
        <v>660</v>
      </c>
      <c r="H9" t="s">
        <v>661</v>
      </c>
      <c r="I9" t="s">
        <v>662</v>
      </c>
      <c r="J9" t="s">
        <v>663</v>
      </c>
      <c r="K9" t="s">
        <v>664</v>
      </c>
      <c r="L9" t="s">
        <v>665</v>
      </c>
      <c r="M9" t="s">
        <v>13</v>
      </c>
    </row>
    <row r="10" spans="1:13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666</v>
      </c>
      <c r="H10" t="s">
        <v>667</v>
      </c>
      <c r="I10" t="s">
        <v>668</v>
      </c>
      <c r="J10" t="s">
        <v>669</v>
      </c>
      <c r="K10" t="s">
        <v>670</v>
      </c>
      <c r="L10" t="s">
        <v>671</v>
      </c>
      <c r="M10" t="s">
        <v>13</v>
      </c>
    </row>
    <row r="11" spans="1:13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59</v>
      </c>
      <c r="G11" t="s">
        <v>661</v>
      </c>
      <c r="H11" t="s">
        <v>672</v>
      </c>
      <c r="I11" t="s">
        <v>673</v>
      </c>
      <c r="J11" t="s">
        <v>674</v>
      </c>
      <c r="K11" t="s">
        <v>675</v>
      </c>
      <c r="L11" t="s">
        <v>676</v>
      </c>
      <c r="M11" t="s">
        <v>13</v>
      </c>
    </row>
    <row r="12" spans="1:13" x14ac:dyDescent="0.3">
      <c r="A12" t="s">
        <v>65</v>
      </c>
      <c r="B12" t="s">
        <v>66</v>
      </c>
      <c r="C12" t="s">
        <v>67</v>
      </c>
      <c r="D12" t="s">
        <v>68</v>
      </c>
      <c r="E12" t="s">
        <v>36</v>
      </c>
      <c r="F12" t="s">
        <v>69</v>
      </c>
      <c r="G12" t="s">
        <v>677</v>
      </c>
      <c r="H12" t="s">
        <v>678</v>
      </c>
      <c r="I12" t="s">
        <v>679</v>
      </c>
      <c r="J12" t="s">
        <v>680</v>
      </c>
      <c r="K12" t="s">
        <v>681</v>
      </c>
      <c r="L12" t="s">
        <v>682</v>
      </c>
      <c r="M12" t="s">
        <v>13</v>
      </c>
    </row>
    <row r="13" spans="1:13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683</v>
      </c>
      <c r="H13" t="s">
        <v>684</v>
      </c>
      <c r="I13" t="s">
        <v>685</v>
      </c>
      <c r="J13" t="s">
        <v>669</v>
      </c>
      <c r="K13" t="s">
        <v>686</v>
      </c>
      <c r="L13" t="s">
        <v>687</v>
      </c>
      <c r="M13" t="s">
        <v>13</v>
      </c>
    </row>
    <row r="14" spans="1:13" x14ac:dyDescent="0.3">
      <c r="A14" t="s">
        <v>76</v>
      </c>
      <c r="B14" t="s">
        <v>77</v>
      </c>
      <c r="C14" t="s">
        <v>78</v>
      </c>
      <c r="D14" t="s">
        <v>79</v>
      </c>
      <c r="E14" t="s">
        <v>18</v>
      </c>
      <c r="F14" t="s">
        <v>43</v>
      </c>
      <c r="G14" t="s">
        <v>688</v>
      </c>
      <c r="H14" t="s">
        <v>689</v>
      </c>
      <c r="I14" t="s">
        <v>690</v>
      </c>
      <c r="J14" t="s">
        <v>645</v>
      </c>
      <c r="K14" t="s">
        <v>691</v>
      </c>
      <c r="L14" t="s">
        <v>692</v>
      </c>
      <c r="M14" t="s">
        <v>13</v>
      </c>
    </row>
    <row r="15" spans="1:13" x14ac:dyDescent="0.3">
      <c r="A15">
        <f>20</f>
        <v>20</v>
      </c>
      <c r="B15" t="s">
        <v>80</v>
      </c>
      <c r="C15" t="s">
        <v>81</v>
      </c>
      <c r="D15" t="s">
        <v>82</v>
      </c>
      <c r="E15" t="s">
        <v>64</v>
      </c>
      <c r="F15" t="s">
        <v>19</v>
      </c>
      <c r="G15" t="s">
        <v>693</v>
      </c>
      <c r="H15" t="s">
        <v>694</v>
      </c>
      <c r="I15" t="s">
        <v>695</v>
      </c>
      <c r="J15" t="s">
        <v>636</v>
      </c>
      <c r="K15" t="s">
        <v>641</v>
      </c>
      <c r="L15" t="s">
        <v>696</v>
      </c>
      <c r="M15" t="s">
        <v>13</v>
      </c>
    </row>
    <row r="16" spans="1:13" x14ac:dyDescent="0.3">
      <c r="A16" t="s">
        <v>83</v>
      </c>
      <c r="B16" t="s">
        <v>84</v>
      </c>
      <c r="C16" t="s">
        <v>85</v>
      </c>
      <c r="D16" t="s">
        <v>86</v>
      </c>
      <c r="E16" t="s">
        <v>36</v>
      </c>
      <c r="F16" t="s">
        <v>43</v>
      </c>
      <c r="G16" t="s">
        <v>697</v>
      </c>
      <c r="H16" t="s">
        <v>698</v>
      </c>
      <c r="I16" t="s">
        <v>699</v>
      </c>
      <c r="J16" t="s">
        <v>700</v>
      </c>
      <c r="K16" t="s">
        <v>701</v>
      </c>
      <c r="L16" t="s">
        <v>702</v>
      </c>
      <c r="M16" t="s">
        <v>13</v>
      </c>
    </row>
    <row r="17" spans="1:13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19</v>
      </c>
      <c r="G17" t="s">
        <v>639</v>
      </c>
      <c r="H17" t="s">
        <v>703</v>
      </c>
      <c r="I17" t="s">
        <v>639</v>
      </c>
      <c r="J17" t="s">
        <v>704</v>
      </c>
      <c r="K17" t="s">
        <v>705</v>
      </c>
      <c r="L17" t="s">
        <v>706</v>
      </c>
      <c r="M17" t="s">
        <v>13</v>
      </c>
    </row>
    <row r="18" spans="1:13" x14ac:dyDescent="0.3">
      <c r="A18" t="s">
        <v>92</v>
      </c>
      <c r="B18" t="s">
        <v>93</v>
      </c>
      <c r="C18" t="s">
        <v>94</v>
      </c>
      <c r="D18" t="s">
        <v>95</v>
      </c>
      <c r="E18" t="s">
        <v>30</v>
      </c>
      <c r="F18" t="s">
        <v>96</v>
      </c>
      <c r="G18" t="s">
        <v>707</v>
      </c>
      <c r="H18" t="s">
        <v>708</v>
      </c>
      <c r="I18" t="s">
        <v>709</v>
      </c>
      <c r="J18" t="s">
        <v>710</v>
      </c>
      <c r="K18" t="s">
        <v>711</v>
      </c>
      <c r="L18" t="s">
        <v>712</v>
      </c>
      <c r="M18" t="s">
        <v>13</v>
      </c>
    </row>
    <row r="19" spans="1:13" x14ac:dyDescent="0.3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713</v>
      </c>
      <c r="H19" t="s">
        <v>714</v>
      </c>
      <c r="I19" t="s">
        <v>715</v>
      </c>
      <c r="J19" t="s">
        <v>657</v>
      </c>
      <c r="K19" t="s">
        <v>716</v>
      </c>
      <c r="L19" t="s">
        <v>717</v>
      </c>
      <c r="M19" t="s">
        <v>13</v>
      </c>
    </row>
    <row r="20" spans="1:13" x14ac:dyDescent="0.3">
      <c r="A20" t="s">
        <v>103</v>
      </c>
      <c r="B20" t="s">
        <v>104</v>
      </c>
      <c r="C20" t="s">
        <v>105</v>
      </c>
      <c r="D20" t="s">
        <v>106</v>
      </c>
      <c r="E20" t="s">
        <v>36</v>
      </c>
      <c r="F20" t="s">
        <v>107</v>
      </c>
      <c r="G20" t="s">
        <v>695</v>
      </c>
      <c r="H20" t="s">
        <v>718</v>
      </c>
      <c r="I20" t="s">
        <v>717</v>
      </c>
      <c r="J20" t="s">
        <v>719</v>
      </c>
      <c r="K20" t="s">
        <v>720</v>
      </c>
      <c r="L20" t="s">
        <v>721</v>
      </c>
      <c r="M20" t="s">
        <v>13</v>
      </c>
    </row>
    <row r="21" spans="1:13" x14ac:dyDescent="0.3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633</v>
      </c>
      <c r="H21" t="s">
        <v>722</v>
      </c>
      <c r="I21" t="s">
        <v>695</v>
      </c>
      <c r="J21" t="s">
        <v>723</v>
      </c>
      <c r="K21" t="s">
        <v>724</v>
      </c>
      <c r="L21" t="s">
        <v>725</v>
      </c>
      <c r="M21" t="s">
        <v>13</v>
      </c>
    </row>
    <row r="22" spans="1:13" x14ac:dyDescent="0.3">
      <c r="A22" t="s">
        <v>114</v>
      </c>
      <c r="B22" t="s">
        <v>115</v>
      </c>
      <c r="C22" t="s">
        <v>116</v>
      </c>
      <c r="D22" t="s">
        <v>117</v>
      </c>
      <c r="E22" t="s">
        <v>58</v>
      </c>
      <c r="F22" t="s">
        <v>118</v>
      </c>
      <c r="G22" t="s">
        <v>726</v>
      </c>
      <c r="H22" t="s">
        <v>727</v>
      </c>
      <c r="I22" t="s">
        <v>728</v>
      </c>
      <c r="J22" t="s">
        <v>729</v>
      </c>
      <c r="K22" t="s">
        <v>730</v>
      </c>
      <c r="L22" t="s">
        <v>731</v>
      </c>
      <c r="M22" t="s">
        <v>13</v>
      </c>
    </row>
    <row r="23" spans="1:13" x14ac:dyDescent="0.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59</v>
      </c>
      <c r="G23" t="s">
        <v>665</v>
      </c>
      <c r="H23" t="s">
        <v>732</v>
      </c>
      <c r="I23" t="s">
        <v>733</v>
      </c>
      <c r="J23" t="s">
        <v>662</v>
      </c>
      <c r="K23" t="s">
        <v>734</v>
      </c>
      <c r="L23" t="s">
        <v>735</v>
      </c>
      <c r="M23" t="s">
        <v>13</v>
      </c>
    </row>
    <row r="24" spans="1:13" x14ac:dyDescent="0.3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648</v>
      </c>
      <c r="H24" t="s">
        <v>736</v>
      </c>
      <c r="I24" t="s">
        <v>737</v>
      </c>
      <c r="J24" t="s">
        <v>715</v>
      </c>
      <c r="K24" t="s">
        <v>738</v>
      </c>
      <c r="L24" t="s">
        <v>739</v>
      </c>
      <c r="M24" t="s">
        <v>13</v>
      </c>
    </row>
    <row r="25" spans="1:13" x14ac:dyDescent="0.3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75</v>
      </c>
      <c r="G25" t="s">
        <v>740</v>
      </c>
      <c r="H25" t="s">
        <v>741</v>
      </c>
      <c r="I25" t="s">
        <v>740</v>
      </c>
      <c r="J25" t="s">
        <v>678</v>
      </c>
      <c r="K25" t="s">
        <v>686</v>
      </c>
      <c r="L25" t="s">
        <v>742</v>
      </c>
      <c r="M25" t="s">
        <v>13</v>
      </c>
    </row>
    <row r="26" spans="1:13" x14ac:dyDescent="0.3">
      <c r="A26" t="s">
        <v>135</v>
      </c>
      <c r="B26" t="s">
        <v>136</v>
      </c>
      <c r="C26" t="s">
        <v>137</v>
      </c>
      <c r="D26" t="s">
        <v>138</v>
      </c>
      <c r="E26" t="s">
        <v>64</v>
      </c>
      <c r="F26" t="s">
        <v>75</v>
      </c>
      <c r="G26" t="s">
        <v>743</v>
      </c>
      <c r="H26" t="s">
        <v>744</v>
      </c>
      <c r="I26" t="s">
        <v>745</v>
      </c>
      <c r="J26" t="s">
        <v>746</v>
      </c>
      <c r="K26" t="s">
        <v>747</v>
      </c>
      <c r="L26" t="s">
        <v>748</v>
      </c>
      <c r="M26" t="s">
        <v>13</v>
      </c>
    </row>
    <row r="27" spans="1:13" x14ac:dyDescent="0.3">
      <c r="A27" t="s">
        <v>139</v>
      </c>
      <c r="B27" t="s">
        <v>140</v>
      </c>
      <c r="C27" t="s">
        <v>141</v>
      </c>
      <c r="D27" t="s">
        <v>90</v>
      </c>
      <c r="E27" t="s">
        <v>11</v>
      </c>
      <c r="F27" t="s">
        <v>19</v>
      </c>
      <c r="G27" t="s">
        <v>749</v>
      </c>
      <c r="H27" t="s">
        <v>750</v>
      </c>
      <c r="I27" t="s">
        <v>751</v>
      </c>
      <c r="J27" t="s">
        <v>752</v>
      </c>
      <c r="K27" t="s">
        <v>753</v>
      </c>
      <c r="L27" t="s">
        <v>754</v>
      </c>
      <c r="M27" t="s">
        <v>13</v>
      </c>
    </row>
    <row r="28" spans="1:13" x14ac:dyDescent="0.3">
      <c r="A28">
        <f>54</f>
        <v>54</v>
      </c>
      <c r="B28" t="s">
        <v>142</v>
      </c>
      <c r="C28" t="s">
        <v>143</v>
      </c>
      <c r="D28" t="s">
        <v>144</v>
      </c>
      <c r="E28" t="s">
        <v>145</v>
      </c>
      <c r="F28" t="s">
        <v>146</v>
      </c>
      <c r="G28" t="s">
        <v>755</v>
      </c>
      <c r="H28" t="s">
        <v>756</v>
      </c>
      <c r="I28" t="s">
        <v>721</v>
      </c>
      <c r="J28" t="s">
        <v>622</v>
      </c>
      <c r="K28" t="s">
        <v>757</v>
      </c>
      <c r="L28" t="s">
        <v>754</v>
      </c>
      <c r="M28" t="s">
        <v>13</v>
      </c>
    </row>
    <row r="29" spans="1:13" x14ac:dyDescent="0.3">
      <c r="A29">
        <f>56</f>
        <v>56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758</v>
      </c>
      <c r="H29" t="s">
        <v>759</v>
      </c>
      <c r="I29" t="s">
        <v>760</v>
      </c>
      <c r="J29" t="s">
        <v>761</v>
      </c>
      <c r="K29" t="s">
        <v>762</v>
      </c>
      <c r="L29" t="s">
        <v>763</v>
      </c>
      <c r="M29" t="s">
        <v>13</v>
      </c>
    </row>
    <row r="30" spans="1:13" x14ac:dyDescent="0.3">
      <c r="A30" t="s">
        <v>152</v>
      </c>
      <c r="B30" t="s">
        <v>153</v>
      </c>
      <c r="C30" t="s">
        <v>154</v>
      </c>
      <c r="D30" t="s">
        <v>155</v>
      </c>
      <c r="E30" t="s">
        <v>42</v>
      </c>
      <c r="F30" t="s">
        <v>75</v>
      </c>
      <c r="G30" t="s">
        <v>764</v>
      </c>
      <c r="H30" t="s">
        <v>765</v>
      </c>
      <c r="I30" t="s">
        <v>766</v>
      </c>
      <c r="J30" t="s">
        <v>767</v>
      </c>
      <c r="K30" t="s">
        <v>768</v>
      </c>
      <c r="L30" t="s">
        <v>769</v>
      </c>
      <c r="M30" t="s">
        <v>13</v>
      </c>
    </row>
    <row r="31" spans="1:13" x14ac:dyDescent="0.3">
      <c r="A31">
        <f>64</f>
        <v>64</v>
      </c>
      <c r="B31" t="s">
        <v>156</v>
      </c>
      <c r="C31" t="s">
        <v>157</v>
      </c>
      <c r="D31" t="s">
        <v>158</v>
      </c>
      <c r="E31" t="s">
        <v>36</v>
      </c>
      <c r="F31" t="s">
        <v>151</v>
      </c>
      <c r="G31" t="s">
        <v>770</v>
      </c>
      <c r="H31" t="s">
        <v>771</v>
      </c>
      <c r="I31" t="s">
        <v>772</v>
      </c>
      <c r="J31" t="s">
        <v>707</v>
      </c>
      <c r="K31" t="s">
        <v>773</v>
      </c>
      <c r="L31" t="s">
        <v>774</v>
      </c>
      <c r="M31" t="s">
        <v>13</v>
      </c>
    </row>
    <row r="32" spans="1:13" x14ac:dyDescent="0.3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107</v>
      </c>
      <c r="G32" t="s">
        <v>732</v>
      </c>
      <c r="H32" t="s">
        <v>775</v>
      </c>
      <c r="I32" t="s">
        <v>702</v>
      </c>
      <c r="J32" t="s">
        <v>624</v>
      </c>
      <c r="K32" t="s">
        <v>776</v>
      </c>
      <c r="L32" t="s">
        <v>777</v>
      </c>
      <c r="M32" t="s">
        <v>13</v>
      </c>
    </row>
    <row r="33" spans="1:13" x14ac:dyDescent="0.3">
      <c r="A33">
        <f>80</f>
        <v>80</v>
      </c>
      <c r="B33" t="s">
        <v>164</v>
      </c>
      <c r="C33" t="s">
        <v>165</v>
      </c>
      <c r="D33" t="s">
        <v>166</v>
      </c>
      <c r="E33" t="s">
        <v>134</v>
      </c>
      <c r="F33" t="s">
        <v>43</v>
      </c>
      <c r="G33" t="s">
        <v>714</v>
      </c>
      <c r="H33" t="s">
        <v>778</v>
      </c>
      <c r="I33" t="s">
        <v>779</v>
      </c>
      <c r="J33" t="s">
        <v>780</v>
      </c>
      <c r="K33" t="s">
        <v>716</v>
      </c>
      <c r="L33" t="s">
        <v>781</v>
      </c>
      <c r="M33" t="s">
        <v>13</v>
      </c>
    </row>
    <row r="34" spans="1:13" x14ac:dyDescent="0.3">
      <c r="A34">
        <f>85</f>
        <v>85</v>
      </c>
      <c r="B34" t="s">
        <v>167</v>
      </c>
      <c r="C34" t="s">
        <v>168</v>
      </c>
      <c r="D34" t="s">
        <v>169</v>
      </c>
      <c r="E34" t="s">
        <v>42</v>
      </c>
      <c r="F34" t="s">
        <v>146</v>
      </c>
      <c r="G34" t="s">
        <v>782</v>
      </c>
      <c r="H34" t="s">
        <v>783</v>
      </c>
      <c r="I34" t="s">
        <v>784</v>
      </c>
      <c r="J34" t="s">
        <v>719</v>
      </c>
      <c r="K34" t="s">
        <v>785</v>
      </c>
      <c r="L34" t="s">
        <v>786</v>
      </c>
      <c r="M34" t="s">
        <v>13</v>
      </c>
    </row>
    <row r="35" spans="1:13" x14ac:dyDescent="0.3">
      <c r="A35">
        <f>85</f>
        <v>85</v>
      </c>
      <c r="B35" t="s">
        <v>170</v>
      </c>
      <c r="C35" t="s">
        <v>171</v>
      </c>
      <c r="D35" t="s">
        <v>172</v>
      </c>
      <c r="E35" t="s">
        <v>173</v>
      </c>
      <c r="F35" t="s">
        <v>107</v>
      </c>
      <c r="G35" t="s">
        <v>782</v>
      </c>
      <c r="H35" t="s">
        <v>739</v>
      </c>
      <c r="I35" t="s">
        <v>787</v>
      </c>
      <c r="J35" t="s">
        <v>788</v>
      </c>
      <c r="K35" t="s">
        <v>789</v>
      </c>
      <c r="L35" t="s">
        <v>790</v>
      </c>
      <c r="M35" t="s">
        <v>13</v>
      </c>
    </row>
    <row r="36" spans="1:13" x14ac:dyDescent="0.3">
      <c r="A36" t="s">
        <v>174</v>
      </c>
      <c r="B36" t="s">
        <v>175</v>
      </c>
      <c r="C36" t="s">
        <v>176</v>
      </c>
      <c r="D36" t="s">
        <v>177</v>
      </c>
      <c r="E36" t="s">
        <v>173</v>
      </c>
      <c r="F36" t="s">
        <v>129</v>
      </c>
      <c r="G36" t="s">
        <v>791</v>
      </c>
      <c r="H36" t="s">
        <v>792</v>
      </c>
      <c r="I36" t="s">
        <v>793</v>
      </c>
      <c r="J36" t="s">
        <v>679</v>
      </c>
      <c r="K36" t="s">
        <v>794</v>
      </c>
      <c r="L36" t="s">
        <v>795</v>
      </c>
      <c r="M36" t="s">
        <v>13</v>
      </c>
    </row>
    <row r="37" spans="1:13" x14ac:dyDescent="0.3">
      <c r="A37">
        <f>94</f>
        <v>94</v>
      </c>
      <c r="B37" t="s">
        <v>178</v>
      </c>
      <c r="C37" t="s">
        <v>179</v>
      </c>
      <c r="D37" t="s">
        <v>180</v>
      </c>
      <c r="E37" t="s">
        <v>181</v>
      </c>
      <c r="F37" t="s">
        <v>102</v>
      </c>
      <c r="G37" t="s">
        <v>736</v>
      </c>
      <c r="H37" t="s">
        <v>796</v>
      </c>
      <c r="I37" t="s">
        <v>696</v>
      </c>
      <c r="J37" t="s">
        <v>797</v>
      </c>
      <c r="K37" t="s">
        <v>705</v>
      </c>
      <c r="L37" t="s">
        <v>798</v>
      </c>
      <c r="M37" t="s">
        <v>13</v>
      </c>
    </row>
    <row r="38" spans="1:13" x14ac:dyDescent="0.3">
      <c r="A38">
        <f>98</f>
        <v>98</v>
      </c>
      <c r="B38" t="s">
        <v>182</v>
      </c>
      <c r="C38" t="s">
        <v>183</v>
      </c>
      <c r="D38" t="s">
        <v>184</v>
      </c>
      <c r="E38" t="s">
        <v>58</v>
      </c>
      <c r="F38" t="s">
        <v>59</v>
      </c>
      <c r="G38" t="s">
        <v>799</v>
      </c>
      <c r="H38" t="s">
        <v>800</v>
      </c>
      <c r="I38" t="s">
        <v>801</v>
      </c>
      <c r="J38" t="s">
        <v>802</v>
      </c>
      <c r="K38" t="s">
        <v>803</v>
      </c>
      <c r="L38" t="s">
        <v>804</v>
      </c>
      <c r="M38" t="s">
        <v>13</v>
      </c>
    </row>
    <row r="39" spans="1:13" x14ac:dyDescent="0.3">
      <c r="A39">
        <f>101</f>
        <v>101</v>
      </c>
      <c r="B39" t="s">
        <v>185</v>
      </c>
      <c r="C39" t="s">
        <v>186</v>
      </c>
      <c r="D39" t="s">
        <v>187</v>
      </c>
      <c r="E39" t="s">
        <v>188</v>
      </c>
      <c r="F39" t="s">
        <v>129</v>
      </c>
      <c r="G39" t="s">
        <v>805</v>
      </c>
      <c r="H39" t="s">
        <v>806</v>
      </c>
      <c r="I39" t="s">
        <v>753</v>
      </c>
      <c r="J39" t="s">
        <v>807</v>
      </c>
      <c r="K39" t="s">
        <v>808</v>
      </c>
      <c r="L39" t="s">
        <v>790</v>
      </c>
      <c r="M39" t="s">
        <v>13</v>
      </c>
    </row>
    <row r="40" spans="1:13" x14ac:dyDescent="0.3">
      <c r="A40" t="s">
        <v>189</v>
      </c>
      <c r="B40" t="s">
        <v>190</v>
      </c>
      <c r="C40" t="s">
        <v>191</v>
      </c>
      <c r="D40" t="s">
        <v>192</v>
      </c>
      <c r="E40" t="s">
        <v>188</v>
      </c>
      <c r="F40" t="s">
        <v>37</v>
      </c>
      <c r="G40" t="s">
        <v>809</v>
      </c>
      <c r="H40" t="s">
        <v>810</v>
      </c>
      <c r="I40" t="s">
        <v>739</v>
      </c>
      <c r="J40" t="s">
        <v>675</v>
      </c>
      <c r="K40" t="s">
        <v>811</v>
      </c>
      <c r="L40" t="s">
        <v>812</v>
      </c>
      <c r="M40" t="s">
        <v>13</v>
      </c>
    </row>
    <row r="41" spans="1:13" x14ac:dyDescent="0.3">
      <c r="A41">
        <f>111</f>
        <v>111</v>
      </c>
      <c r="B41" t="s">
        <v>193</v>
      </c>
      <c r="C41" t="s">
        <v>194</v>
      </c>
      <c r="D41" t="s">
        <v>195</v>
      </c>
      <c r="E41" t="s">
        <v>188</v>
      </c>
      <c r="F41" t="s">
        <v>196</v>
      </c>
      <c r="G41" t="s">
        <v>813</v>
      </c>
      <c r="H41" t="s">
        <v>814</v>
      </c>
      <c r="I41" t="s">
        <v>815</v>
      </c>
      <c r="J41" t="s">
        <v>816</v>
      </c>
      <c r="K41" t="s">
        <v>817</v>
      </c>
      <c r="L41" t="s">
        <v>818</v>
      </c>
      <c r="M41" t="s">
        <v>13</v>
      </c>
    </row>
    <row r="42" spans="1:13" x14ac:dyDescent="0.3">
      <c r="A42">
        <f>114</f>
        <v>114</v>
      </c>
      <c r="B42" t="s">
        <v>197</v>
      </c>
      <c r="C42" t="s">
        <v>198</v>
      </c>
      <c r="D42" t="s">
        <v>199</v>
      </c>
      <c r="E42" t="s">
        <v>188</v>
      </c>
      <c r="F42" t="s">
        <v>113</v>
      </c>
      <c r="G42" t="s">
        <v>721</v>
      </c>
      <c r="H42" t="s">
        <v>819</v>
      </c>
      <c r="I42" t="s">
        <v>793</v>
      </c>
      <c r="J42" t="s">
        <v>820</v>
      </c>
      <c r="K42" t="s">
        <v>821</v>
      </c>
      <c r="L42" t="s">
        <v>822</v>
      </c>
      <c r="M42" t="s">
        <v>13</v>
      </c>
    </row>
    <row r="43" spans="1:13" x14ac:dyDescent="0.3">
      <c r="A43" t="s">
        <v>200</v>
      </c>
      <c r="B43" t="s">
        <v>201</v>
      </c>
      <c r="C43" t="s">
        <v>202</v>
      </c>
      <c r="D43" t="s">
        <v>203</v>
      </c>
      <c r="E43" t="s">
        <v>134</v>
      </c>
      <c r="F43" t="s">
        <v>59</v>
      </c>
      <c r="G43" t="s">
        <v>759</v>
      </c>
      <c r="H43" t="s">
        <v>823</v>
      </c>
      <c r="I43" t="s">
        <v>824</v>
      </c>
      <c r="J43" t="s">
        <v>640</v>
      </c>
      <c r="K43" t="s">
        <v>825</v>
      </c>
      <c r="L43" t="s">
        <v>826</v>
      </c>
      <c r="M43" t="s">
        <v>13</v>
      </c>
    </row>
    <row r="44" spans="1:13" x14ac:dyDescent="0.3">
      <c r="A44" t="s">
        <v>204</v>
      </c>
      <c r="B44" t="s">
        <v>205</v>
      </c>
      <c r="C44" t="s">
        <v>206</v>
      </c>
      <c r="D44" t="s">
        <v>207</v>
      </c>
      <c r="E44" t="s">
        <v>91</v>
      </c>
      <c r="F44" t="s">
        <v>69</v>
      </c>
      <c r="G44" t="s">
        <v>781</v>
      </c>
      <c r="H44" t="s">
        <v>827</v>
      </c>
      <c r="I44" t="s">
        <v>828</v>
      </c>
      <c r="J44" t="s">
        <v>829</v>
      </c>
      <c r="K44" t="s">
        <v>830</v>
      </c>
      <c r="L44" t="s">
        <v>701</v>
      </c>
      <c r="M44" t="s">
        <v>13</v>
      </c>
    </row>
    <row r="45" spans="1:13" x14ac:dyDescent="0.3">
      <c r="A45">
        <f>121</f>
        <v>121</v>
      </c>
      <c r="B45" t="s">
        <v>208</v>
      </c>
      <c r="C45" t="s">
        <v>209</v>
      </c>
      <c r="D45" t="s">
        <v>210</v>
      </c>
      <c r="E45" t="s">
        <v>11</v>
      </c>
      <c r="F45" t="s">
        <v>43</v>
      </c>
      <c r="G45" t="s">
        <v>831</v>
      </c>
      <c r="H45" t="s">
        <v>832</v>
      </c>
      <c r="I45" t="s">
        <v>833</v>
      </c>
      <c r="J45" t="s">
        <v>834</v>
      </c>
      <c r="K45" t="s">
        <v>790</v>
      </c>
      <c r="L45" t="s">
        <v>817</v>
      </c>
      <c r="M45" t="s">
        <v>13</v>
      </c>
    </row>
    <row r="46" spans="1:13" x14ac:dyDescent="0.3">
      <c r="A46">
        <f>124</f>
        <v>124</v>
      </c>
      <c r="B46" t="s">
        <v>211</v>
      </c>
      <c r="C46" t="s">
        <v>212</v>
      </c>
      <c r="D46" t="s">
        <v>213</v>
      </c>
      <c r="E46" t="s">
        <v>214</v>
      </c>
      <c r="F46" t="s">
        <v>59</v>
      </c>
      <c r="G46" t="s">
        <v>835</v>
      </c>
      <c r="H46" t="s">
        <v>836</v>
      </c>
      <c r="I46" t="s">
        <v>837</v>
      </c>
      <c r="J46" t="s">
        <v>838</v>
      </c>
      <c r="K46" t="s">
        <v>839</v>
      </c>
      <c r="L46" t="s">
        <v>747</v>
      </c>
      <c r="M46" t="s">
        <v>13</v>
      </c>
    </row>
    <row r="47" spans="1:13" x14ac:dyDescent="0.3">
      <c r="A47">
        <f>124</f>
        <v>124</v>
      </c>
      <c r="B47" t="s">
        <v>215</v>
      </c>
      <c r="C47" t="s">
        <v>216</v>
      </c>
      <c r="D47" t="s">
        <v>217</v>
      </c>
      <c r="E47" t="s">
        <v>145</v>
      </c>
      <c r="F47" t="s">
        <v>218</v>
      </c>
      <c r="G47" t="s">
        <v>835</v>
      </c>
      <c r="H47" t="s">
        <v>840</v>
      </c>
      <c r="I47" t="s">
        <v>841</v>
      </c>
      <c r="J47" t="s">
        <v>673</v>
      </c>
      <c r="K47" t="s">
        <v>795</v>
      </c>
      <c r="L47" t="s">
        <v>842</v>
      </c>
      <c r="M47" t="s">
        <v>13</v>
      </c>
    </row>
    <row r="48" spans="1:13" x14ac:dyDescent="0.3">
      <c r="A48">
        <f>131</f>
        <v>131</v>
      </c>
      <c r="B48" t="s">
        <v>219</v>
      </c>
      <c r="C48" t="s">
        <v>220</v>
      </c>
      <c r="D48" t="s">
        <v>192</v>
      </c>
      <c r="E48" t="s">
        <v>173</v>
      </c>
      <c r="F48" t="s">
        <v>12</v>
      </c>
      <c r="G48" t="s">
        <v>756</v>
      </c>
      <c r="H48" t="s">
        <v>843</v>
      </c>
      <c r="I48" t="s">
        <v>844</v>
      </c>
      <c r="J48" t="s">
        <v>845</v>
      </c>
      <c r="K48" t="s">
        <v>846</v>
      </c>
      <c r="L48" t="s">
        <v>801</v>
      </c>
      <c r="M48" t="s">
        <v>13</v>
      </c>
    </row>
    <row r="49" spans="1:13" x14ac:dyDescent="0.3">
      <c r="A49">
        <f>133</f>
        <v>133</v>
      </c>
      <c r="B49" t="s">
        <v>221</v>
      </c>
      <c r="C49" t="s">
        <v>222</v>
      </c>
      <c r="D49" t="s">
        <v>73</v>
      </c>
      <c r="E49" t="s">
        <v>173</v>
      </c>
      <c r="F49" t="s">
        <v>107</v>
      </c>
      <c r="G49" t="s">
        <v>793</v>
      </c>
      <c r="H49" t="s">
        <v>847</v>
      </c>
      <c r="I49" t="s">
        <v>848</v>
      </c>
      <c r="J49" t="s">
        <v>849</v>
      </c>
      <c r="K49" t="s">
        <v>850</v>
      </c>
      <c r="L49" t="s">
        <v>757</v>
      </c>
      <c r="M49" t="s">
        <v>13</v>
      </c>
    </row>
    <row r="50" spans="1:13" x14ac:dyDescent="0.3">
      <c r="A50">
        <f>140</f>
        <v>140</v>
      </c>
      <c r="B50" t="s">
        <v>223</v>
      </c>
      <c r="C50" t="s">
        <v>224</v>
      </c>
      <c r="D50" t="s">
        <v>225</v>
      </c>
      <c r="E50" t="s">
        <v>188</v>
      </c>
      <c r="F50" t="s">
        <v>37</v>
      </c>
      <c r="G50" t="s">
        <v>851</v>
      </c>
      <c r="H50" t="s">
        <v>852</v>
      </c>
      <c r="I50" t="s">
        <v>853</v>
      </c>
      <c r="J50" t="s">
        <v>854</v>
      </c>
      <c r="K50" t="s">
        <v>837</v>
      </c>
      <c r="L50" t="s">
        <v>855</v>
      </c>
      <c r="M50" t="s">
        <v>13</v>
      </c>
    </row>
    <row r="51" spans="1:13" x14ac:dyDescent="0.3">
      <c r="A51">
        <f>147</f>
        <v>147</v>
      </c>
      <c r="B51" t="s">
        <v>226</v>
      </c>
      <c r="C51" t="s">
        <v>227</v>
      </c>
      <c r="D51" t="s">
        <v>228</v>
      </c>
      <c r="E51" t="s">
        <v>30</v>
      </c>
      <c r="F51" t="s">
        <v>19</v>
      </c>
      <c r="G51" t="s">
        <v>806</v>
      </c>
      <c r="H51" t="s">
        <v>856</v>
      </c>
      <c r="I51" t="s">
        <v>857</v>
      </c>
      <c r="J51" t="s">
        <v>858</v>
      </c>
      <c r="K51" t="s">
        <v>859</v>
      </c>
      <c r="L51" t="s">
        <v>718</v>
      </c>
      <c r="M51" t="s">
        <v>13</v>
      </c>
    </row>
    <row r="52" spans="1:13" x14ac:dyDescent="0.3">
      <c r="A52">
        <f>152</f>
        <v>152</v>
      </c>
      <c r="B52" t="s">
        <v>229</v>
      </c>
      <c r="C52" t="s">
        <v>230</v>
      </c>
      <c r="D52" t="s">
        <v>192</v>
      </c>
      <c r="E52" t="s">
        <v>214</v>
      </c>
      <c r="F52" t="s">
        <v>231</v>
      </c>
      <c r="G52" t="s">
        <v>860</v>
      </c>
      <c r="H52" t="s">
        <v>779</v>
      </c>
      <c r="I52" t="s">
        <v>861</v>
      </c>
      <c r="J52" t="s">
        <v>862</v>
      </c>
      <c r="K52" t="s">
        <v>653</v>
      </c>
      <c r="L52" t="s">
        <v>863</v>
      </c>
      <c r="M52" t="s">
        <v>13</v>
      </c>
    </row>
    <row r="53" spans="1:13" x14ac:dyDescent="0.3">
      <c r="A53">
        <f>155</f>
        <v>155</v>
      </c>
      <c r="B53" t="s">
        <v>232</v>
      </c>
      <c r="C53" t="s">
        <v>233</v>
      </c>
      <c r="D53" t="s">
        <v>234</v>
      </c>
      <c r="E53" t="s">
        <v>235</v>
      </c>
      <c r="F53" t="s">
        <v>69</v>
      </c>
      <c r="G53" t="s">
        <v>864</v>
      </c>
      <c r="H53" t="s">
        <v>785</v>
      </c>
      <c r="I53" t="s">
        <v>865</v>
      </c>
      <c r="J53" t="s">
        <v>866</v>
      </c>
      <c r="K53" t="s">
        <v>867</v>
      </c>
      <c r="L53" t="s">
        <v>868</v>
      </c>
      <c r="M53" t="s">
        <v>13</v>
      </c>
    </row>
    <row r="54" spans="1:13" x14ac:dyDescent="0.3">
      <c r="A54" t="s">
        <v>236</v>
      </c>
      <c r="B54" t="s">
        <v>237</v>
      </c>
      <c r="C54" t="s">
        <v>238</v>
      </c>
      <c r="D54" t="s">
        <v>199</v>
      </c>
      <c r="E54" t="s">
        <v>36</v>
      </c>
      <c r="F54" t="s">
        <v>59</v>
      </c>
      <c r="G54" t="s">
        <v>869</v>
      </c>
      <c r="H54" t="s">
        <v>832</v>
      </c>
      <c r="I54" t="s">
        <v>870</v>
      </c>
      <c r="J54" t="s">
        <v>726</v>
      </c>
      <c r="K54" t="s">
        <v>747</v>
      </c>
      <c r="L54" t="s">
        <v>871</v>
      </c>
      <c r="M54" t="s">
        <v>13</v>
      </c>
    </row>
    <row r="55" spans="1:13" x14ac:dyDescent="0.3">
      <c r="A55" t="s">
        <v>239</v>
      </c>
      <c r="B55" t="s">
        <v>240</v>
      </c>
      <c r="C55" t="s">
        <v>241</v>
      </c>
      <c r="D55" t="s">
        <v>242</v>
      </c>
      <c r="E55" t="s">
        <v>243</v>
      </c>
      <c r="F55" t="s">
        <v>244</v>
      </c>
      <c r="G55" t="s">
        <v>872</v>
      </c>
      <c r="H55" t="s">
        <v>841</v>
      </c>
      <c r="I55" t="s">
        <v>873</v>
      </c>
      <c r="J55" t="s">
        <v>874</v>
      </c>
      <c r="K55" t="s">
        <v>875</v>
      </c>
      <c r="L55" t="s">
        <v>841</v>
      </c>
      <c r="M55" t="s">
        <v>13</v>
      </c>
    </row>
    <row r="56" spans="1:13" x14ac:dyDescent="0.3">
      <c r="A56">
        <f>170</f>
        <v>170</v>
      </c>
      <c r="B56" t="s">
        <v>245</v>
      </c>
      <c r="C56" t="s">
        <v>246</v>
      </c>
      <c r="D56" t="s">
        <v>247</v>
      </c>
      <c r="E56" t="s">
        <v>248</v>
      </c>
      <c r="F56" t="s">
        <v>48</v>
      </c>
      <c r="G56" t="s">
        <v>876</v>
      </c>
      <c r="H56" t="s">
        <v>823</v>
      </c>
      <c r="I56" t="s">
        <v>847</v>
      </c>
      <c r="J56" t="s">
        <v>798</v>
      </c>
      <c r="K56" t="s">
        <v>877</v>
      </c>
      <c r="L56" t="s">
        <v>864</v>
      </c>
      <c r="M56" t="s">
        <v>13</v>
      </c>
    </row>
    <row r="57" spans="1:13" x14ac:dyDescent="0.3">
      <c r="A57">
        <f>176</f>
        <v>176</v>
      </c>
      <c r="B57" t="s">
        <v>249</v>
      </c>
      <c r="C57" t="s">
        <v>250</v>
      </c>
      <c r="D57" t="s">
        <v>251</v>
      </c>
      <c r="E57" t="s">
        <v>252</v>
      </c>
      <c r="F57" t="s">
        <v>129</v>
      </c>
      <c r="G57" t="s">
        <v>878</v>
      </c>
      <c r="H57" t="s">
        <v>879</v>
      </c>
      <c r="I57" t="s">
        <v>880</v>
      </c>
      <c r="J57" t="s">
        <v>704</v>
      </c>
      <c r="K57" t="s">
        <v>881</v>
      </c>
      <c r="L57" t="s">
        <v>882</v>
      </c>
      <c r="M57" t="s">
        <v>13</v>
      </c>
    </row>
    <row r="58" spans="1:13" x14ac:dyDescent="0.3">
      <c r="A58">
        <f>184</f>
        <v>184</v>
      </c>
      <c r="B58" t="s">
        <v>253</v>
      </c>
      <c r="C58" t="s">
        <v>254</v>
      </c>
      <c r="D58" t="s">
        <v>255</v>
      </c>
      <c r="E58" t="s">
        <v>42</v>
      </c>
      <c r="F58" t="s">
        <v>102</v>
      </c>
      <c r="G58" t="s">
        <v>883</v>
      </c>
      <c r="H58" t="s">
        <v>884</v>
      </c>
      <c r="I58" t="s">
        <v>885</v>
      </c>
      <c r="J58" t="s">
        <v>737</v>
      </c>
      <c r="K58" t="s">
        <v>886</v>
      </c>
      <c r="L58" t="s">
        <v>887</v>
      </c>
      <c r="M58" t="s">
        <v>13</v>
      </c>
    </row>
    <row r="59" spans="1:13" x14ac:dyDescent="0.3">
      <c r="A59">
        <f>187</f>
        <v>187</v>
      </c>
      <c r="B59" t="s">
        <v>256</v>
      </c>
      <c r="C59" t="s">
        <v>257</v>
      </c>
      <c r="D59" t="s">
        <v>258</v>
      </c>
      <c r="E59" t="s">
        <v>36</v>
      </c>
      <c r="F59" t="s">
        <v>259</v>
      </c>
      <c r="G59" t="s">
        <v>664</v>
      </c>
      <c r="H59" t="s">
        <v>822</v>
      </c>
      <c r="I59" t="s">
        <v>888</v>
      </c>
      <c r="J59" t="s">
        <v>644</v>
      </c>
      <c r="K59" t="s">
        <v>889</v>
      </c>
      <c r="L59" t="s">
        <v>890</v>
      </c>
      <c r="M59" t="s">
        <v>13</v>
      </c>
    </row>
    <row r="60" spans="1:13" x14ac:dyDescent="0.3">
      <c r="A60" t="s">
        <v>260</v>
      </c>
      <c r="B60" t="s">
        <v>261</v>
      </c>
      <c r="C60" t="s">
        <v>262</v>
      </c>
      <c r="D60" t="s">
        <v>263</v>
      </c>
      <c r="E60" t="s">
        <v>150</v>
      </c>
      <c r="F60" t="s">
        <v>113</v>
      </c>
      <c r="G60" t="s">
        <v>827</v>
      </c>
      <c r="H60" t="s">
        <v>792</v>
      </c>
      <c r="I60" t="s">
        <v>891</v>
      </c>
      <c r="J60" t="s">
        <v>892</v>
      </c>
      <c r="K60" t="s">
        <v>893</v>
      </c>
      <c r="L60" t="s">
        <v>653</v>
      </c>
      <c r="M60" t="s">
        <v>13</v>
      </c>
    </row>
    <row r="61" spans="1:13" x14ac:dyDescent="0.3">
      <c r="A61" t="s">
        <v>264</v>
      </c>
      <c r="B61" t="s">
        <v>265</v>
      </c>
      <c r="C61" t="s">
        <v>266</v>
      </c>
      <c r="D61" t="s">
        <v>267</v>
      </c>
      <c r="E61" t="s">
        <v>58</v>
      </c>
      <c r="F61" t="s">
        <v>151</v>
      </c>
      <c r="G61" t="s">
        <v>894</v>
      </c>
      <c r="H61" t="s">
        <v>895</v>
      </c>
      <c r="I61" t="s">
        <v>263</v>
      </c>
      <c r="J61" t="s">
        <v>625</v>
      </c>
      <c r="K61" t="s">
        <v>896</v>
      </c>
      <c r="L61" t="s">
        <v>878</v>
      </c>
      <c r="M61" t="s">
        <v>13</v>
      </c>
    </row>
    <row r="62" spans="1:13" x14ac:dyDescent="0.3">
      <c r="A62" t="s">
        <v>264</v>
      </c>
      <c r="B62" t="s">
        <v>268</v>
      </c>
      <c r="C62" t="s">
        <v>269</v>
      </c>
      <c r="D62" t="s">
        <v>270</v>
      </c>
      <c r="E62" t="s">
        <v>248</v>
      </c>
      <c r="F62" t="s">
        <v>19</v>
      </c>
      <c r="G62" t="s">
        <v>894</v>
      </c>
      <c r="H62" t="s">
        <v>897</v>
      </c>
      <c r="I62" t="s">
        <v>898</v>
      </c>
      <c r="J62" t="s">
        <v>899</v>
      </c>
      <c r="K62" t="s">
        <v>794</v>
      </c>
      <c r="L62" t="s">
        <v>812</v>
      </c>
      <c r="M62" t="s">
        <v>13</v>
      </c>
    </row>
    <row r="63" spans="1:13" x14ac:dyDescent="0.3">
      <c r="A63" t="s">
        <v>264</v>
      </c>
      <c r="B63" t="s">
        <v>271</v>
      </c>
      <c r="C63" t="s">
        <v>272</v>
      </c>
      <c r="D63" t="s">
        <v>273</v>
      </c>
      <c r="E63" t="s">
        <v>123</v>
      </c>
      <c r="F63" t="s">
        <v>96</v>
      </c>
      <c r="G63" t="s">
        <v>894</v>
      </c>
      <c r="H63" t="s">
        <v>900</v>
      </c>
      <c r="I63" t="s">
        <v>901</v>
      </c>
      <c r="J63" t="s">
        <v>648</v>
      </c>
      <c r="K63" t="s">
        <v>871</v>
      </c>
      <c r="L63" t="s">
        <v>696</v>
      </c>
      <c r="M63" t="s">
        <v>13</v>
      </c>
    </row>
    <row r="64" spans="1:13" x14ac:dyDescent="0.3">
      <c r="A64" t="s">
        <v>264</v>
      </c>
      <c r="B64" t="s">
        <v>274</v>
      </c>
      <c r="C64" t="s">
        <v>275</v>
      </c>
      <c r="D64" t="s">
        <v>17</v>
      </c>
      <c r="E64" t="s">
        <v>150</v>
      </c>
      <c r="F64" t="s">
        <v>276</v>
      </c>
      <c r="G64" t="s">
        <v>894</v>
      </c>
      <c r="H64" t="s">
        <v>902</v>
      </c>
      <c r="I64" t="s">
        <v>903</v>
      </c>
      <c r="J64" t="s">
        <v>904</v>
      </c>
      <c r="K64" t="s">
        <v>888</v>
      </c>
      <c r="L64" t="s">
        <v>905</v>
      </c>
      <c r="M64" t="s">
        <v>13</v>
      </c>
    </row>
    <row r="65" spans="1:13" x14ac:dyDescent="0.3">
      <c r="A65" t="s">
        <v>264</v>
      </c>
      <c r="B65" t="s">
        <v>277</v>
      </c>
      <c r="C65" t="s">
        <v>278</v>
      </c>
      <c r="D65" t="s">
        <v>279</v>
      </c>
      <c r="E65" t="s">
        <v>123</v>
      </c>
      <c r="F65" t="s">
        <v>107</v>
      </c>
      <c r="G65" t="s">
        <v>894</v>
      </c>
      <c r="H65" t="s">
        <v>906</v>
      </c>
      <c r="I65" t="s">
        <v>907</v>
      </c>
      <c r="J65" t="s">
        <v>709</v>
      </c>
      <c r="K65" t="s">
        <v>908</v>
      </c>
      <c r="L65" t="s">
        <v>909</v>
      </c>
      <c r="M65" t="s">
        <v>13</v>
      </c>
    </row>
    <row r="66" spans="1:13" x14ac:dyDescent="0.3">
      <c r="A66" t="s">
        <v>264</v>
      </c>
      <c r="B66" t="s">
        <v>280</v>
      </c>
      <c r="C66" t="s">
        <v>281</v>
      </c>
      <c r="D66" t="s">
        <v>282</v>
      </c>
      <c r="E66" t="s">
        <v>188</v>
      </c>
      <c r="F66" t="s">
        <v>129</v>
      </c>
      <c r="G66" t="s">
        <v>894</v>
      </c>
      <c r="H66" t="s">
        <v>711</v>
      </c>
      <c r="I66" t="s">
        <v>910</v>
      </c>
      <c r="J66" t="s">
        <v>911</v>
      </c>
      <c r="K66" t="s">
        <v>912</v>
      </c>
      <c r="L66" t="s">
        <v>913</v>
      </c>
      <c r="M66" t="s">
        <v>13</v>
      </c>
    </row>
    <row r="67" spans="1:13" x14ac:dyDescent="0.3">
      <c r="A67" t="s">
        <v>264</v>
      </c>
      <c r="B67" t="s">
        <v>283</v>
      </c>
      <c r="C67" t="s">
        <v>284</v>
      </c>
      <c r="D67" t="s">
        <v>23</v>
      </c>
      <c r="E67" t="s">
        <v>235</v>
      </c>
      <c r="F67" t="s">
        <v>59</v>
      </c>
      <c r="G67" t="s">
        <v>894</v>
      </c>
      <c r="H67" t="s">
        <v>914</v>
      </c>
      <c r="I67" t="s">
        <v>915</v>
      </c>
      <c r="J67" t="s">
        <v>788</v>
      </c>
      <c r="K67" t="s">
        <v>863</v>
      </c>
      <c r="L67" t="s">
        <v>759</v>
      </c>
      <c r="M67" t="s">
        <v>13</v>
      </c>
    </row>
    <row r="68" spans="1:13" x14ac:dyDescent="0.3">
      <c r="A68" t="s">
        <v>264</v>
      </c>
      <c r="B68" t="s">
        <v>285</v>
      </c>
      <c r="C68" t="s">
        <v>286</v>
      </c>
      <c r="D68" t="s">
        <v>287</v>
      </c>
      <c r="E68" t="s">
        <v>188</v>
      </c>
      <c r="F68" t="s">
        <v>75</v>
      </c>
      <c r="G68" t="s">
        <v>894</v>
      </c>
      <c r="H68" t="s">
        <v>916</v>
      </c>
      <c r="I68" t="s">
        <v>821</v>
      </c>
      <c r="J68" t="s">
        <v>917</v>
      </c>
      <c r="K68" t="s">
        <v>918</v>
      </c>
      <c r="L68" t="s">
        <v>778</v>
      </c>
      <c r="M68" t="s">
        <v>13</v>
      </c>
    </row>
    <row r="69" spans="1:13" x14ac:dyDescent="0.3">
      <c r="A69" t="s">
        <v>264</v>
      </c>
      <c r="B69" t="s">
        <v>288</v>
      </c>
      <c r="C69" t="s">
        <v>289</v>
      </c>
      <c r="D69" t="s">
        <v>290</v>
      </c>
      <c r="E69" t="s">
        <v>150</v>
      </c>
      <c r="F69" t="s">
        <v>129</v>
      </c>
      <c r="G69" t="s">
        <v>894</v>
      </c>
      <c r="H69" t="s">
        <v>919</v>
      </c>
      <c r="I69" t="s">
        <v>920</v>
      </c>
      <c r="J69" t="s">
        <v>921</v>
      </c>
      <c r="K69" t="s">
        <v>869</v>
      </c>
      <c r="L69" t="s">
        <v>922</v>
      </c>
      <c r="M69" t="s">
        <v>13</v>
      </c>
    </row>
    <row r="70" spans="1:13" x14ac:dyDescent="0.3">
      <c r="A70" t="s">
        <v>264</v>
      </c>
      <c r="B70" t="s">
        <v>291</v>
      </c>
      <c r="C70" t="s">
        <v>292</v>
      </c>
      <c r="D70" t="s">
        <v>293</v>
      </c>
      <c r="E70" t="s">
        <v>294</v>
      </c>
      <c r="F70" t="s">
        <v>102</v>
      </c>
      <c r="G70" t="s">
        <v>894</v>
      </c>
      <c r="H70" t="s">
        <v>923</v>
      </c>
      <c r="I70" t="s">
        <v>924</v>
      </c>
      <c r="J70" t="s">
        <v>925</v>
      </c>
      <c r="K70" t="s">
        <v>885</v>
      </c>
      <c r="L70" t="s">
        <v>778</v>
      </c>
      <c r="M70" t="s">
        <v>13</v>
      </c>
    </row>
    <row r="71" spans="1:13" x14ac:dyDescent="0.3">
      <c r="A71" t="s">
        <v>295</v>
      </c>
      <c r="B71" t="s">
        <v>296</v>
      </c>
      <c r="C71" t="s">
        <v>297</v>
      </c>
      <c r="D71" t="s">
        <v>184</v>
      </c>
      <c r="E71" t="s">
        <v>235</v>
      </c>
      <c r="F71" t="s">
        <v>12</v>
      </c>
      <c r="G71" t="s">
        <v>926</v>
      </c>
      <c r="H71" t="s">
        <v>927</v>
      </c>
      <c r="I71" t="s">
        <v>928</v>
      </c>
      <c r="J71" t="s">
        <v>929</v>
      </c>
      <c r="K71" t="s">
        <v>930</v>
      </c>
      <c r="L71" t="s">
        <v>931</v>
      </c>
      <c r="M71" t="s">
        <v>13</v>
      </c>
    </row>
    <row r="72" spans="1:13" x14ac:dyDescent="0.3">
      <c r="A72" t="s">
        <v>295</v>
      </c>
      <c r="B72" t="s">
        <v>298</v>
      </c>
      <c r="C72" t="s">
        <v>299</v>
      </c>
      <c r="D72" t="s">
        <v>300</v>
      </c>
      <c r="E72" t="s">
        <v>294</v>
      </c>
      <c r="F72" t="s">
        <v>107</v>
      </c>
      <c r="G72" t="s">
        <v>926</v>
      </c>
      <c r="H72" t="s">
        <v>932</v>
      </c>
      <c r="I72" t="s">
        <v>933</v>
      </c>
      <c r="J72" t="s">
        <v>934</v>
      </c>
      <c r="K72" t="s">
        <v>935</v>
      </c>
      <c r="L72" t="s">
        <v>830</v>
      </c>
      <c r="M72" t="s">
        <v>13</v>
      </c>
    </row>
    <row r="73" spans="1:13" x14ac:dyDescent="0.3">
      <c r="A73" t="s">
        <v>295</v>
      </c>
      <c r="B73" t="s">
        <v>301</v>
      </c>
      <c r="C73" t="s">
        <v>302</v>
      </c>
      <c r="D73" t="s">
        <v>303</v>
      </c>
      <c r="E73" t="s">
        <v>214</v>
      </c>
      <c r="F73" t="s">
        <v>37</v>
      </c>
      <c r="G73" t="s">
        <v>926</v>
      </c>
      <c r="H73" t="s">
        <v>936</v>
      </c>
      <c r="I73" t="s">
        <v>932</v>
      </c>
      <c r="J73" t="s">
        <v>937</v>
      </c>
      <c r="K73" t="s">
        <v>867</v>
      </c>
      <c r="L73" t="s">
        <v>818</v>
      </c>
      <c r="M73" t="s">
        <v>13</v>
      </c>
    </row>
    <row r="74" spans="1:13" x14ac:dyDescent="0.3">
      <c r="A74" t="s">
        <v>295</v>
      </c>
      <c r="B74" t="s">
        <v>304</v>
      </c>
      <c r="C74" t="s">
        <v>305</v>
      </c>
      <c r="D74" t="s">
        <v>306</v>
      </c>
      <c r="E74" t="s">
        <v>307</v>
      </c>
      <c r="F74" t="s">
        <v>96</v>
      </c>
      <c r="G74" t="s">
        <v>926</v>
      </c>
      <c r="H74" t="s">
        <v>938</v>
      </c>
      <c r="I74" t="s">
        <v>939</v>
      </c>
      <c r="J74" t="s">
        <v>764</v>
      </c>
      <c r="K74" t="s">
        <v>940</v>
      </c>
      <c r="L74" t="s">
        <v>844</v>
      </c>
      <c r="M74" t="s">
        <v>13</v>
      </c>
    </row>
    <row r="75" spans="1:13" x14ac:dyDescent="0.3">
      <c r="A75" t="s">
        <v>295</v>
      </c>
      <c r="B75" t="s">
        <v>308</v>
      </c>
      <c r="C75" t="s">
        <v>309</v>
      </c>
      <c r="D75" t="s">
        <v>310</v>
      </c>
      <c r="E75" t="s">
        <v>173</v>
      </c>
      <c r="F75" t="s">
        <v>107</v>
      </c>
      <c r="G75" t="s">
        <v>926</v>
      </c>
      <c r="H75" t="s">
        <v>941</v>
      </c>
      <c r="I75" t="s">
        <v>942</v>
      </c>
      <c r="J75" t="s">
        <v>673</v>
      </c>
      <c r="K75" t="s">
        <v>905</v>
      </c>
      <c r="L75" t="s">
        <v>885</v>
      </c>
      <c r="M75" t="s">
        <v>13</v>
      </c>
    </row>
    <row r="76" spans="1:13" x14ac:dyDescent="0.3">
      <c r="A76" t="s">
        <v>295</v>
      </c>
      <c r="B76" t="s">
        <v>311</v>
      </c>
      <c r="C76" t="s">
        <v>312</v>
      </c>
      <c r="D76" t="s">
        <v>313</v>
      </c>
      <c r="E76" t="s">
        <v>42</v>
      </c>
      <c r="F76" t="s">
        <v>59</v>
      </c>
      <c r="G76" t="s">
        <v>926</v>
      </c>
      <c r="H76" t="s">
        <v>943</v>
      </c>
      <c r="I76" t="s">
        <v>865</v>
      </c>
      <c r="J76" t="s">
        <v>770</v>
      </c>
      <c r="K76" t="s">
        <v>944</v>
      </c>
      <c r="L76" t="s">
        <v>945</v>
      </c>
      <c r="M76" t="s">
        <v>13</v>
      </c>
    </row>
    <row r="77" spans="1:13" x14ac:dyDescent="0.3">
      <c r="A77" t="s">
        <v>295</v>
      </c>
      <c r="B77" t="s">
        <v>314</v>
      </c>
      <c r="C77" t="s">
        <v>315</v>
      </c>
      <c r="D77" t="s">
        <v>180</v>
      </c>
      <c r="E77" t="s">
        <v>316</v>
      </c>
      <c r="F77" t="s">
        <v>231</v>
      </c>
      <c r="G77" t="s">
        <v>926</v>
      </c>
      <c r="H77" t="s">
        <v>946</v>
      </c>
      <c r="I77" t="s">
        <v>907</v>
      </c>
      <c r="J77" t="s">
        <v>947</v>
      </c>
      <c r="K77" t="s">
        <v>906</v>
      </c>
      <c r="L77" t="s">
        <v>948</v>
      </c>
      <c r="M77" t="s">
        <v>13</v>
      </c>
    </row>
    <row r="78" spans="1:13" x14ac:dyDescent="0.3">
      <c r="A78" t="s">
        <v>295</v>
      </c>
      <c r="B78" t="s">
        <v>317</v>
      </c>
      <c r="C78" t="s">
        <v>318</v>
      </c>
      <c r="D78" t="s">
        <v>319</v>
      </c>
      <c r="E78" t="s">
        <v>243</v>
      </c>
      <c r="F78" t="s">
        <v>320</v>
      </c>
      <c r="G78" t="s">
        <v>926</v>
      </c>
      <c r="H78" t="s">
        <v>940</v>
      </c>
      <c r="I78" t="s">
        <v>313</v>
      </c>
      <c r="J78" t="s">
        <v>949</v>
      </c>
      <c r="K78" t="s">
        <v>888</v>
      </c>
      <c r="L78" t="s">
        <v>950</v>
      </c>
      <c r="M78" t="s">
        <v>13</v>
      </c>
    </row>
    <row r="79" spans="1:13" x14ac:dyDescent="0.3">
      <c r="A79" t="s">
        <v>295</v>
      </c>
      <c r="B79" t="s">
        <v>321</v>
      </c>
      <c r="C79" t="s">
        <v>322</v>
      </c>
      <c r="D79" t="s">
        <v>323</v>
      </c>
      <c r="E79" t="s">
        <v>324</v>
      </c>
      <c r="F79" t="s">
        <v>325</v>
      </c>
      <c r="G79" t="s">
        <v>926</v>
      </c>
      <c r="H79" t="s">
        <v>881</v>
      </c>
      <c r="I79" t="s">
        <v>951</v>
      </c>
      <c r="J79" t="s">
        <v>641</v>
      </c>
      <c r="K79" t="s">
        <v>909</v>
      </c>
      <c r="L79" t="s">
        <v>952</v>
      </c>
      <c r="M79" t="s">
        <v>13</v>
      </c>
    </row>
    <row r="80" spans="1:13" x14ac:dyDescent="0.3">
      <c r="A80" t="s">
        <v>295</v>
      </c>
      <c r="B80" t="s">
        <v>326</v>
      </c>
      <c r="C80" t="s">
        <v>327</v>
      </c>
      <c r="D80" t="s">
        <v>177</v>
      </c>
      <c r="E80" t="s">
        <v>214</v>
      </c>
      <c r="F80" t="s">
        <v>107</v>
      </c>
      <c r="G80" t="s">
        <v>926</v>
      </c>
      <c r="H80" t="s">
        <v>953</v>
      </c>
      <c r="I80" t="s">
        <v>954</v>
      </c>
      <c r="J80" t="s">
        <v>955</v>
      </c>
      <c r="K80" t="s">
        <v>939</v>
      </c>
      <c r="L80" t="s">
        <v>908</v>
      </c>
      <c r="M80" t="s">
        <v>13</v>
      </c>
    </row>
    <row r="81" spans="1:13" x14ac:dyDescent="0.3">
      <c r="A81" t="s">
        <v>295</v>
      </c>
      <c r="B81" t="s">
        <v>328</v>
      </c>
      <c r="C81" t="s">
        <v>329</v>
      </c>
      <c r="D81" t="s">
        <v>330</v>
      </c>
      <c r="E81" t="s">
        <v>123</v>
      </c>
      <c r="F81" t="s">
        <v>196</v>
      </c>
      <c r="G81" t="s">
        <v>926</v>
      </c>
      <c r="H81" t="s">
        <v>956</v>
      </c>
      <c r="I81" t="s">
        <v>303</v>
      </c>
      <c r="J81" t="s">
        <v>957</v>
      </c>
      <c r="K81" t="s">
        <v>958</v>
      </c>
      <c r="L81" t="s">
        <v>959</v>
      </c>
      <c r="M81" t="s">
        <v>13</v>
      </c>
    </row>
    <row r="82" spans="1:13" x14ac:dyDescent="0.3">
      <c r="A82" t="s">
        <v>295</v>
      </c>
      <c r="B82" t="s">
        <v>331</v>
      </c>
      <c r="C82" t="s">
        <v>332</v>
      </c>
      <c r="D82" t="s">
        <v>144</v>
      </c>
      <c r="E82" t="s">
        <v>214</v>
      </c>
      <c r="F82" t="s">
        <v>231</v>
      </c>
      <c r="G82" t="s">
        <v>926</v>
      </c>
      <c r="H82" t="s">
        <v>909</v>
      </c>
      <c r="I82" t="s">
        <v>35</v>
      </c>
      <c r="J82" t="s">
        <v>960</v>
      </c>
      <c r="K82" t="s">
        <v>961</v>
      </c>
      <c r="L82" t="s">
        <v>884</v>
      </c>
      <c r="M82" t="s">
        <v>13</v>
      </c>
    </row>
    <row r="83" spans="1:13" x14ac:dyDescent="0.3">
      <c r="A83" t="s">
        <v>333</v>
      </c>
      <c r="B83" t="s">
        <v>334</v>
      </c>
      <c r="C83" t="s">
        <v>335</v>
      </c>
      <c r="D83" t="s">
        <v>336</v>
      </c>
      <c r="E83" t="s">
        <v>173</v>
      </c>
      <c r="F83" t="s">
        <v>196</v>
      </c>
      <c r="G83" t="s">
        <v>962</v>
      </c>
      <c r="H83" t="s">
        <v>963</v>
      </c>
      <c r="I83" t="s">
        <v>888</v>
      </c>
      <c r="J83" t="s">
        <v>706</v>
      </c>
      <c r="K83" t="s">
        <v>948</v>
      </c>
      <c r="L83" t="s">
        <v>964</v>
      </c>
      <c r="M83" t="s">
        <v>13</v>
      </c>
    </row>
    <row r="84" spans="1:13" x14ac:dyDescent="0.3">
      <c r="A84" t="s">
        <v>333</v>
      </c>
      <c r="B84" t="s">
        <v>337</v>
      </c>
      <c r="C84" t="s">
        <v>338</v>
      </c>
      <c r="D84" t="s">
        <v>319</v>
      </c>
      <c r="E84" t="s">
        <v>214</v>
      </c>
      <c r="F84" t="s">
        <v>37</v>
      </c>
      <c r="G84" t="s">
        <v>962</v>
      </c>
      <c r="H84" t="s">
        <v>418</v>
      </c>
      <c r="I84" t="s">
        <v>518</v>
      </c>
      <c r="J84" t="s">
        <v>965</v>
      </c>
      <c r="K84" t="s">
        <v>966</v>
      </c>
      <c r="L84" t="s">
        <v>902</v>
      </c>
      <c r="M84" t="s">
        <v>13</v>
      </c>
    </row>
    <row r="85" spans="1:13" x14ac:dyDescent="0.3">
      <c r="A85" t="s">
        <v>333</v>
      </c>
      <c r="B85" t="s">
        <v>339</v>
      </c>
      <c r="C85" t="s">
        <v>340</v>
      </c>
      <c r="D85" t="s">
        <v>169</v>
      </c>
      <c r="E85" t="s">
        <v>150</v>
      </c>
      <c r="F85" t="s">
        <v>231</v>
      </c>
      <c r="G85" t="s">
        <v>962</v>
      </c>
      <c r="H85" t="s">
        <v>967</v>
      </c>
      <c r="I85" t="s">
        <v>571</v>
      </c>
      <c r="J85" t="s">
        <v>968</v>
      </c>
      <c r="K85" t="s">
        <v>833</v>
      </c>
      <c r="L85" t="s">
        <v>523</v>
      </c>
      <c r="M85" t="s">
        <v>13</v>
      </c>
    </row>
    <row r="86" spans="1:13" x14ac:dyDescent="0.3">
      <c r="A86" t="s">
        <v>333</v>
      </c>
      <c r="B86" t="s">
        <v>341</v>
      </c>
      <c r="C86" t="s">
        <v>342</v>
      </c>
      <c r="D86" t="s">
        <v>343</v>
      </c>
      <c r="E86" t="s">
        <v>123</v>
      </c>
      <c r="F86" t="s">
        <v>96</v>
      </c>
      <c r="G86" t="s">
        <v>962</v>
      </c>
      <c r="H86" t="s">
        <v>969</v>
      </c>
      <c r="I86" t="s">
        <v>763</v>
      </c>
      <c r="J86" t="s">
        <v>970</v>
      </c>
      <c r="K86" t="s">
        <v>971</v>
      </c>
      <c r="L86" t="s">
        <v>814</v>
      </c>
      <c r="M86" t="s">
        <v>13</v>
      </c>
    </row>
    <row r="87" spans="1:13" x14ac:dyDescent="0.3">
      <c r="A87" t="s">
        <v>333</v>
      </c>
      <c r="B87" t="s">
        <v>344</v>
      </c>
      <c r="C87" t="s">
        <v>345</v>
      </c>
      <c r="D87" t="s">
        <v>346</v>
      </c>
      <c r="E87" t="s">
        <v>347</v>
      </c>
      <c r="F87" t="s">
        <v>25</v>
      </c>
      <c r="G87" t="s">
        <v>962</v>
      </c>
      <c r="H87" t="s">
        <v>958</v>
      </c>
      <c r="I87" t="s">
        <v>972</v>
      </c>
      <c r="J87" t="s">
        <v>760</v>
      </c>
      <c r="K87" t="s">
        <v>811</v>
      </c>
      <c r="L87" t="s">
        <v>973</v>
      </c>
      <c r="M87" t="s">
        <v>13</v>
      </c>
    </row>
    <row r="88" spans="1:13" x14ac:dyDescent="0.3">
      <c r="A88" t="s">
        <v>333</v>
      </c>
      <c r="B88" t="s">
        <v>348</v>
      </c>
      <c r="C88" t="s">
        <v>349</v>
      </c>
      <c r="D88" t="s">
        <v>350</v>
      </c>
      <c r="E88" t="s">
        <v>188</v>
      </c>
      <c r="F88" t="s">
        <v>48</v>
      </c>
      <c r="G88" t="s">
        <v>962</v>
      </c>
      <c r="H88" t="s">
        <v>974</v>
      </c>
      <c r="I88" t="s">
        <v>691</v>
      </c>
      <c r="J88" t="s">
        <v>769</v>
      </c>
      <c r="K88" t="s">
        <v>944</v>
      </c>
      <c r="L88" t="s">
        <v>787</v>
      </c>
      <c r="M88" t="s">
        <v>13</v>
      </c>
    </row>
    <row r="89" spans="1:13" x14ac:dyDescent="0.3">
      <c r="A89" t="s">
        <v>333</v>
      </c>
      <c r="B89" t="s">
        <v>351</v>
      </c>
      <c r="C89" t="s">
        <v>352</v>
      </c>
      <c r="D89" t="s">
        <v>273</v>
      </c>
      <c r="E89" t="s">
        <v>123</v>
      </c>
      <c r="F89" t="s">
        <v>196</v>
      </c>
      <c r="G89" t="s">
        <v>962</v>
      </c>
      <c r="H89" t="s">
        <v>865</v>
      </c>
      <c r="I89" t="s">
        <v>953</v>
      </c>
      <c r="J89" t="s">
        <v>975</v>
      </c>
      <c r="K89" t="s">
        <v>976</v>
      </c>
      <c r="L89" t="s">
        <v>977</v>
      </c>
      <c r="M89" t="s">
        <v>13</v>
      </c>
    </row>
    <row r="90" spans="1:13" x14ac:dyDescent="0.3">
      <c r="A90" t="s">
        <v>333</v>
      </c>
      <c r="B90" t="s">
        <v>353</v>
      </c>
      <c r="C90" t="s">
        <v>354</v>
      </c>
      <c r="D90" t="s">
        <v>355</v>
      </c>
      <c r="E90" t="s">
        <v>356</v>
      </c>
      <c r="F90" t="s">
        <v>357</v>
      </c>
      <c r="G90" t="s">
        <v>962</v>
      </c>
      <c r="H90" t="s">
        <v>978</v>
      </c>
      <c r="I90" t="s">
        <v>979</v>
      </c>
      <c r="J90" t="s">
        <v>623</v>
      </c>
      <c r="K90" t="s">
        <v>757</v>
      </c>
      <c r="L90" t="s">
        <v>980</v>
      </c>
      <c r="M90" t="s">
        <v>13</v>
      </c>
    </row>
    <row r="91" spans="1:13" x14ac:dyDescent="0.3">
      <c r="A91" t="s">
        <v>333</v>
      </c>
      <c r="B91" t="s">
        <v>358</v>
      </c>
      <c r="C91" t="s">
        <v>359</v>
      </c>
      <c r="D91" t="s">
        <v>273</v>
      </c>
      <c r="E91" t="s">
        <v>11</v>
      </c>
      <c r="F91" t="s">
        <v>43</v>
      </c>
      <c r="G91" t="s">
        <v>962</v>
      </c>
      <c r="H91" t="s">
        <v>888</v>
      </c>
      <c r="I91" t="s">
        <v>981</v>
      </c>
      <c r="J91" t="s">
        <v>982</v>
      </c>
      <c r="K91" t="s">
        <v>896</v>
      </c>
      <c r="L91" t="s">
        <v>983</v>
      </c>
      <c r="M91" t="s">
        <v>13</v>
      </c>
    </row>
    <row r="92" spans="1:13" x14ac:dyDescent="0.3">
      <c r="A92" t="s">
        <v>333</v>
      </c>
      <c r="B92" t="s">
        <v>360</v>
      </c>
      <c r="C92" t="s">
        <v>361</v>
      </c>
      <c r="D92" t="s">
        <v>225</v>
      </c>
      <c r="E92" t="s">
        <v>42</v>
      </c>
      <c r="F92" t="s">
        <v>107</v>
      </c>
      <c r="G92" t="s">
        <v>962</v>
      </c>
      <c r="H92" t="s">
        <v>896</v>
      </c>
      <c r="I92" t="s">
        <v>984</v>
      </c>
      <c r="J92" t="s">
        <v>692</v>
      </c>
      <c r="K92" t="s">
        <v>985</v>
      </c>
      <c r="L92" t="s">
        <v>986</v>
      </c>
      <c r="M92" t="s">
        <v>13</v>
      </c>
    </row>
    <row r="93" spans="1:13" x14ac:dyDescent="0.3">
      <c r="A93" t="s">
        <v>333</v>
      </c>
      <c r="B93" t="s">
        <v>362</v>
      </c>
      <c r="C93" t="s">
        <v>363</v>
      </c>
      <c r="D93" t="s">
        <v>364</v>
      </c>
      <c r="E93" t="s">
        <v>214</v>
      </c>
      <c r="F93" t="s">
        <v>107</v>
      </c>
      <c r="G93" t="s">
        <v>962</v>
      </c>
      <c r="H93" t="s">
        <v>966</v>
      </c>
      <c r="I93" t="s">
        <v>987</v>
      </c>
      <c r="J93" t="s">
        <v>715</v>
      </c>
      <c r="K93" t="s">
        <v>888</v>
      </c>
      <c r="L93" t="s">
        <v>753</v>
      </c>
      <c r="M93" t="s">
        <v>13</v>
      </c>
    </row>
    <row r="94" spans="1:13" x14ac:dyDescent="0.3">
      <c r="A94" t="s">
        <v>333</v>
      </c>
      <c r="B94" t="s">
        <v>365</v>
      </c>
      <c r="C94" t="s">
        <v>366</v>
      </c>
      <c r="D94" t="s">
        <v>177</v>
      </c>
      <c r="E94" t="s">
        <v>316</v>
      </c>
      <c r="F94" t="s">
        <v>75</v>
      </c>
      <c r="G94" t="s">
        <v>962</v>
      </c>
      <c r="H94" t="s">
        <v>988</v>
      </c>
      <c r="I94" t="s">
        <v>953</v>
      </c>
      <c r="J94" t="s">
        <v>715</v>
      </c>
      <c r="K94" t="s">
        <v>943</v>
      </c>
      <c r="L94" t="s">
        <v>785</v>
      </c>
      <c r="M94" t="s">
        <v>13</v>
      </c>
    </row>
    <row r="95" spans="1:13" x14ac:dyDescent="0.3">
      <c r="A95" t="s">
        <v>333</v>
      </c>
      <c r="B95" t="s">
        <v>367</v>
      </c>
      <c r="C95" t="s">
        <v>368</v>
      </c>
      <c r="D95" t="s">
        <v>369</v>
      </c>
      <c r="E95" t="s">
        <v>11</v>
      </c>
      <c r="F95" t="s">
        <v>102</v>
      </c>
      <c r="G95" t="s">
        <v>962</v>
      </c>
      <c r="H95" t="s">
        <v>915</v>
      </c>
      <c r="I95" t="s">
        <v>526</v>
      </c>
      <c r="J95" t="s">
        <v>989</v>
      </c>
      <c r="K95" t="s">
        <v>990</v>
      </c>
      <c r="L95" t="s">
        <v>835</v>
      </c>
      <c r="M95" t="s">
        <v>13</v>
      </c>
    </row>
    <row r="96" spans="1:13" x14ac:dyDescent="0.3">
      <c r="A96" t="s">
        <v>333</v>
      </c>
      <c r="B96" t="s">
        <v>370</v>
      </c>
      <c r="C96" t="s">
        <v>371</v>
      </c>
      <c r="D96" t="s">
        <v>210</v>
      </c>
      <c r="E96" t="s">
        <v>173</v>
      </c>
      <c r="F96" t="s">
        <v>151</v>
      </c>
      <c r="G96" t="s">
        <v>962</v>
      </c>
      <c r="H96" t="s">
        <v>795</v>
      </c>
      <c r="I96" t="s">
        <v>991</v>
      </c>
      <c r="J96" t="s">
        <v>992</v>
      </c>
      <c r="K96" t="s">
        <v>936</v>
      </c>
      <c r="L96" t="s">
        <v>993</v>
      </c>
      <c r="M96" t="s">
        <v>13</v>
      </c>
    </row>
    <row r="97" spans="1:13" x14ac:dyDescent="0.3">
      <c r="A97" t="s">
        <v>333</v>
      </c>
      <c r="B97" t="s">
        <v>372</v>
      </c>
      <c r="C97" t="s">
        <v>373</v>
      </c>
      <c r="D97" t="s">
        <v>293</v>
      </c>
      <c r="E97" t="s">
        <v>307</v>
      </c>
      <c r="F97" t="s">
        <v>107</v>
      </c>
      <c r="G97" t="s">
        <v>962</v>
      </c>
      <c r="H97" t="s">
        <v>994</v>
      </c>
      <c r="I97" t="s">
        <v>995</v>
      </c>
      <c r="J97" t="s">
        <v>820</v>
      </c>
      <c r="K97" t="s">
        <v>996</v>
      </c>
      <c r="L97" t="s">
        <v>997</v>
      </c>
      <c r="M97" t="s">
        <v>13</v>
      </c>
    </row>
    <row r="98" spans="1:13" x14ac:dyDescent="0.3">
      <c r="A98" t="s">
        <v>374</v>
      </c>
      <c r="B98" t="s">
        <v>375</v>
      </c>
      <c r="C98" t="s">
        <v>376</v>
      </c>
      <c r="D98" t="s">
        <v>377</v>
      </c>
      <c r="E98" t="s">
        <v>235</v>
      </c>
      <c r="F98" t="s">
        <v>37</v>
      </c>
      <c r="G98" t="s">
        <v>998</v>
      </c>
      <c r="H98" t="s">
        <v>486</v>
      </c>
      <c r="I98" t="s">
        <v>999</v>
      </c>
      <c r="J98" t="s">
        <v>1000</v>
      </c>
      <c r="K98" t="s">
        <v>1001</v>
      </c>
      <c r="L98" t="s">
        <v>839</v>
      </c>
      <c r="M98" t="s">
        <v>13</v>
      </c>
    </row>
    <row r="99" spans="1:13" x14ac:dyDescent="0.3">
      <c r="A99" t="s">
        <v>374</v>
      </c>
      <c r="B99" t="s">
        <v>378</v>
      </c>
      <c r="C99" t="s">
        <v>379</v>
      </c>
      <c r="D99" t="s">
        <v>380</v>
      </c>
      <c r="E99" t="s">
        <v>214</v>
      </c>
      <c r="F99" t="s">
        <v>59</v>
      </c>
      <c r="G99" t="s">
        <v>998</v>
      </c>
      <c r="H99" t="s">
        <v>974</v>
      </c>
      <c r="I99" t="s">
        <v>1002</v>
      </c>
      <c r="J99" t="s">
        <v>770</v>
      </c>
      <c r="K99" t="s">
        <v>964</v>
      </c>
      <c r="L99" t="s">
        <v>742</v>
      </c>
      <c r="M99" t="s">
        <v>13</v>
      </c>
    </row>
    <row r="100" spans="1:13" x14ac:dyDescent="0.3">
      <c r="A100" t="s">
        <v>374</v>
      </c>
      <c r="B100" t="s">
        <v>381</v>
      </c>
      <c r="C100" t="s">
        <v>382</v>
      </c>
      <c r="D100" t="s">
        <v>279</v>
      </c>
      <c r="E100" t="s">
        <v>307</v>
      </c>
      <c r="F100" t="s">
        <v>96</v>
      </c>
      <c r="G100" t="s">
        <v>998</v>
      </c>
      <c r="H100" t="s">
        <v>1003</v>
      </c>
      <c r="I100" t="s">
        <v>293</v>
      </c>
      <c r="J100" t="s">
        <v>707</v>
      </c>
      <c r="K100" t="s">
        <v>1004</v>
      </c>
      <c r="L100" t="s">
        <v>1005</v>
      </c>
      <c r="M100" t="s">
        <v>13</v>
      </c>
    </row>
    <row r="101" spans="1:13" x14ac:dyDescent="0.3">
      <c r="A101" t="s">
        <v>383</v>
      </c>
      <c r="B101" t="s">
        <v>384</v>
      </c>
      <c r="C101" t="s">
        <v>385</v>
      </c>
      <c r="D101" t="s">
        <v>149</v>
      </c>
      <c r="E101" t="s">
        <v>316</v>
      </c>
      <c r="F101" t="s">
        <v>59</v>
      </c>
      <c r="G101" t="s">
        <v>1006</v>
      </c>
      <c r="H101" t="s">
        <v>1007</v>
      </c>
      <c r="I101" t="s">
        <v>991</v>
      </c>
      <c r="J101" t="s">
        <v>1008</v>
      </c>
      <c r="K101" t="s">
        <v>1009</v>
      </c>
      <c r="L101" t="s">
        <v>945</v>
      </c>
      <c r="M101" t="s">
        <v>13</v>
      </c>
    </row>
    <row r="102" spans="1:13" x14ac:dyDescent="0.3">
      <c r="A102" t="s">
        <v>383</v>
      </c>
      <c r="B102" t="s">
        <v>386</v>
      </c>
      <c r="C102" t="s">
        <v>387</v>
      </c>
      <c r="D102" t="s">
        <v>388</v>
      </c>
      <c r="E102" t="s">
        <v>134</v>
      </c>
      <c r="F102" t="s">
        <v>244</v>
      </c>
      <c r="G102" t="s">
        <v>1006</v>
      </c>
      <c r="H102" t="s">
        <v>1010</v>
      </c>
      <c r="I102" t="s">
        <v>508</v>
      </c>
      <c r="J102" t="s">
        <v>705</v>
      </c>
      <c r="K102" t="s">
        <v>940</v>
      </c>
      <c r="L102" t="s">
        <v>1011</v>
      </c>
      <c r="M102" t="s">
        <v>13</v>
      </c>
    </row>
    <row r="103" spans="1:13" x14ac:dyDescent="0.3">
      <c r="A103" t="s">
        <v>383</v>
      </c>
      <c r="B103" t="s">
        <v>389</v>
      </c>
      <c r="C103" t="s">
        <v>390</v>
      </c>
      <c r="D103" t="s">
        <v>313</v>
      </c>
      <c r="E103" t="s">
        <v>11</v>
      </c>
      <c r="F103" t="s">
        <v>259</v>
      </c>
      <c r="G103" t="s">
        <v>1006</v>
      </c>
      <c r="H103" t="s">
        <v>1012</v>
      </c>
      <c r="I103" t="s">
        <v>1013</v>
      </c>
      <c r="J103" t="s">
        <v>1014</v>
      </c>
      <c r="K103" t="s">
        <v>888</v>
      </c>
      <c r="L103" t="s">
        <v>806</v>
      </c>
      <c r="M103" t="s">
        <v>13</v>
      </c>
    </row>
    <row r="104" spans="1:13" x14ac:dyDescent="0.3">
      <c r="A104" t="s">
        <v>383</v>
      </c>
      <c r="B104" t="s">
        <v>391</v>
      </c>
      <c r="C104" t="s">
        <v>392</v>
      </c>
      <c r="D104" t="s">
        <v>393</v>
      </c>
      <c r="E104" t="s">
        <v>173</v>
      </c>
      <c r="F104" t="s">
        <v>394</v>
      </c>
      <c r="G104" t="s">
        <v>1006</v>
      </c>
      <c r="H104" t="s">
        <v>1015</v>
      </c>
      <c r="I104" t="s">
        <v>1016</v>
      </c>
      <c r="J104" t="s">
        <v>770</v>
      </c>
      <c r="K104" t="s">
        <v>1017</v>
      </c>
      <c r="L104" t="s">
        <v>833</v>
      </c>
      <c r="M104" t="s">
        <v>13</v>
      </c>
    </row>
    <row r="105" spans="1:13" x14ac:dyDescent="0.3">
      <c r="A105" t="s">
        <v>383</v>
      </c>
      <c r="B105" t="s">
        <v>395</v>
      </c>
      <c r="C105" t="s">
        <v>396</v>
      </c>
      <c r="D105" t="s">
        <v>192</v>
      </c>
      <c r="E105" t="s">
        <v>243</v>
      </c>
      <c r="F105" t="s">
        <v>107</v>
      </c>
      <c r="G105" t="s">
        <v>1006</v>
      </c>
      <c r="H105" t="s">
        <v>942</v>
      </c>
      <c r="I105" t="s">
        <v>1018</v>
      </c>
      <c r="J105" t="s">
        <v>882</v>
      </c>
      <c r="K105" t="s">
        <v>1019</v>
      </c>
      <c r="L105" t="s">
        <v>919</v>
      </c>
      <c r="M105" t="s">
        <v>13</v>
      </c>
    </row>
    <row r="106" spans="1:13" x14ac:dyDescent="0.3">
      <c r="A106" t="s">
        <v>383</v>
      </c>
      <c r="B106" t="s">
        <v>397</v>
      </c>
      <c r="C106" t="s">
        <v>398</v>
      </c>
      <c r="D106" t="s">
        <v>399</v>
      </c>
      <c r="E106" t="s">
        <v>173</v>
      </c>
      <c r="F106" t="s">
        <v>59</v>
      </c>
      <c r="G106" t="s">
        <v>1006</v>
      </c>
      <c r="H106" t="s">
        <v>896</v>
      </c>
      <c r="I106" t="s">
        <v>1007</v>
      </c>
      <c r="J106" t="s">
        <v>787</v>
      </c>
      <c r="K106" t="s">
        <v>879</v>
      </c>
      <c r="L106" t="s">
        <v>1020</v>
      </c>
      <c r="M106" t="s">
        <v>13</v>
      </c>
    </row>
    <row r="107" spans="1:13" x14ac:dyDescent="0.3">
      <c r="A107" t="s">
        <v>383</v>
      </c>
      <c r="B107" t="s">
        <v>400</v>
      </c>
      <c r="C107" t="s">
        <v>401</v>
      </c>
      <c r="D107" t="s">
        <v>402</v>
      </c>
      <c r="E107" t="s">
        <v>150</v>
      </c>
      <c r="F107" t="s">
        <v>96</v>
      </c>
      <c r="G107" t="s">
        <v>1006</v>
      </c>
      <c r="H107" t="s">
        <v>1021</v>
      </c>
      <c r="I107" t="s">
        <v>1022</v>
      </c>
      <c r="J107" t="s">
        <v>770</v>
      </c>
      <c r="K107" t="s">
        <v>896</v>
      </c>
      <c r="L107" t="s">
        <v>954</v>
      </c>
      <c r="M107" t="s">
        <v>13</v>
      </c>
    </row>
    <row r="108" spans="1:13" x14ac:dyDescent="0.3">
      <c r="A108" t="s">
        <v>383</v>
      </c>
      <c r="B108" t="s">
        <v>403</v>
      </c>
      <c r="C108" t="s">
        <v>404</v>
      </c>
      <c r="D108" t="s">
        <v>405</v>
      </c>
      <c r="E108" t="s">
        <v>150</v>
      </c>
      <c r="F108" t="s">
        <v>151</v>
      </c>
      <c r="G108" t="s">
        <v>1006</v>
      </c>
      <c r="H108" t="s">
        <v>1023</v>
      </c>
      <c r="I108" t="s">
        <v>1024</v>
      </c>
      <c r="J108" t="s">
        <v>1025</v>
      </c>
      <c r="K108" t="s">
        <v>889</v>
      </c>
      <c r="L108" t="s">
        <v>990</v>
      </c>
      <c r="M108" t="s">
        <v>13</v>
      </c>
    </row>
    <row r="109" spans="1:13" x14ac:dyDescent="0.3">
      <c r="A109" t="s">
        <v>383</v>
      </c>
      <c r="B109" t="s">
        <v>406</v>
      </c>
      <c r="C109" t="s">
        <v>407</v>
      </c>
      <c r="D109" t="s">
        <v>177</v>
      </c>
      <c r="E109" t="s">
        <v>307</v>
      </c>
      <c r="F109" t="s">
        <v>96</v>
      </c>
      <c r="G109" t="s">
        <v>1006</v>
      </c>
      <c r="H109" t="s">
        <v>1026</v>
      </c>
      <c r="I109" t="s">
        <v>768</v>
      </c>
      <c r="J109" t="s">
        <v>1027</v>
      </c>
      <c r="K109" t="s">
        <v>923</v>
      </c>
      <c r="L109" t="s">
        <v>1028</v>
      </c>
      <c r="M109" t="s">
        <v>13</v>
      </c>
    </row>
    <row r="110" spans="1:13" x14ac:dyDescent="0.3">
      <c r="A110" t="s">
        <v>383</v>
      </c>
      <c r="B110" t="s">
        <v>408</v>
      </c>
      <c r="C110" t="s">
        <v>409</v>
      </c>
      <c r="D110" t="s">
        <v>410</v>
      </c>
      <c r="E110" t="s">
        <v>243</v>
      </c>
      <c r="F110" t="s">
        <v>151</v>
      </c>
      <c r="G110" t="s">
        <v>1006</v>
      </c>
      <c r="H110" t="s">
        <v>994</v>
      </c>
      <c r="I110" t="s">
        <v>1029</v>
      </c>
      <c r="J110" t="s">
        <v>799</v>
      </c>
      <c r="K110" t="s">
        <v>889</v>
      </c>
      <c r="L110" t="s">
        <v>900</v>
      </c>
      <c r="M110" t="s">
        <v>13</v>
      </c>
    </row>
    <row r="111" spans="1:13" x14ac:dyDescent="0.3">
      <c r="A111" t="s">
        <v>383</v>
      </c>
      <c r="B111" t="s">
        <v>411</v>
      </c>
      <c r="C111" t="s">
        <v>412</v>
      </c>
      <c r="D111" t="s">
        <v>310</v>
      </c>
      <c r="E111" t="s">
        <v>248</v>
      </c>
      <c r="F111" t="s">
        <v>12</v>
      </c>
      <c r="G111" t="s">
        <v>1006</v>
      </c>
      <c r="H111" t="s">
        <v>1030</v>
      </c>
      <c r="I111" t="s">
        <v>1031</v>
      </c>
      <c r="J111" t="s">
        <v>793</v>
      </c>
      <c r="K111" t="s">
        <v>738</v>
      </c>
      <c r="L111" t="s">
        <v>1032</v>
      </c>
      <c r="M111" t="s">
        <v>13</v>
      </c>
    </row>
    <row r="112" spans="1:13" x14ac:dyDescent="0.3">
      <c r="A112" t="s">
        <v>383</v>
      </c>
      <c r="B112" t="s">
        <v>413</v>
      </c>
      <c r="C112" t="s">
        <v>414</v>
      </c>
      <c r="D112" t="s">
        <v>282</v>
      </c>
      <c r="E112" t="s">
        <v>415</v>
      </c>
      <c r="F112" t="s">
        <v>231</v>
      </c>
      <c r="G112" t="s">
        <v>1006</v>
      </c>
      <c r="H112" t="s">
        <v>974</v>
      </c>
      <c r="I112" t="s">
        <v>1033</v>
      </c>
      <c r="J112" t="s">
        <v>766</v>
      </c>
      <c r="K112" t="s">
        <v>877</v>
      </c>
      <c r="L112" t="s">
        <v>877</v>
      </c>
      <c r="M112" t="s">
        <v>13</v>
      </c>
    </row>
    <row r="113" spans="1:13" x14ac:dyDescent="0.3">
      <c r="A113" t="s">
        <v>383</v>
      </c>
      <c r="B113" t="s">
        <v>416</v>
      </c>
      <c r="C113" t="s">
        <v>417</v>
      </c>
      <c r="D113" t="s">
        <v>418</v>
      </c>
      <c r="E113" t="s">
        <v>248</v>
      </c>
      <c r="F113" t="s">
        <v>419</v>
      </c>
      <c r="G113" t="s">
        <v>1006</v>
      </c>
      <c r="H113" t="s">
        <v>568</v>
      </c>
      <c r="I113" t="s">
        <v>1034</v>
      </c>
      <c r="J113" t="s">
        <v>1035</v>
      </c>
      <c r="K113" t="s">
        <v>1036</v>
      </c>
      <c r="L113" t="s">
        <v>1037</v>
      </c>
      <c r="M113" t="s">
        <v>13</v>
      </c>
    </row>
    <row r="114" spans="1:13" x14ac:dyDescent="0.3">
      <c r="A114" t="s">
        <v>383</v>
      </c>
      <c r="B114" t="s">
        <v>420</v>
      </c>
      <c r="C114" t="s">
        <v>421</v>
      </c>
      <c r="D114" t="s">
        <v>350</v>
      </c>
      <c r="E114" t="s">
        <v>316</v>
      </c>
      <c r="F114" t="s">
        <v>107</v>
      </c>
      <c r="G114" t="s">
        <v>1006</v>
      </c>
      <c r="H114" t="s">
        <v>1038</v>
      </c>
      <c r="I114" t="s">
        <v>1039</v>
      </c>
      <c r="J114" t="s">
        <v>1040</v>
      </c>
      <c r="K114" t="s">
        <v>1041</v>
      </c>
      <c r="L114" t="s">
        <v>1042</v>
      </c>
      <c r="M114" t="s">
        <v>13</v>
      </c>
    </row>
    <row r="115" spans="1:13" x14ac:dyDescent="0.3">
      <c r="A115" t="s">
        <v>383</v>
      </c>
      <c r="B115" t="s">
        <v>422</v>
      </c>
      <c r="C115" t="s">
        <v>423</v>
      </c>
      <c r="D115" t="s">
        <v>177</v>
      </c>
      <c r="E115" t="s">
        <v>248</v>
      </c>
      <c r="F115" t="s">
        <v>129</v>
      </c>
      <c r="G115" t="s">
        <v>1006</v>
      </c>
      <c r="H115" t="s">
        <v>1043</v>
      </c>
      <c r="I115" t="s">
        <v>972</v>
      </c>
      <c r="J115" t="s">
        <v>1044</v>
      </c>
      <c r="K115" t="s">
        <v>821</v>
      </c>
      <c r="L115" t="s">
        <v>658</v>
      </c>
      <c r="M115" t="s">
        <v>13</v>
      </c>
    </row>
    <row r="116" spans="1:13" x14ac:dyDescent="0.3">
      <c r="A116" t="s">
        <v>383</v>
      </c>
      <c r="B116" t="s">
        <v>424</v>
      </c>
      <c r="C116" t="s">
        <v>425</v>
      </c>
      <c r="D116" t="s">
        <v>426</v>
      </c>
      <c r="E116" t="s">
        <v>307</v>
      </c>
      <c r="F116" t="s">
        <v>43</v>
      </c>
      <c r="G116" t="s">
        <v>1006</v>
      </c>
      <c r="H116" t="s">
        <v>1045</v>
      </c>
      <c r="I116" t="s">
        <v>1046</v>
      </c>
      <c r="J116" t="s">
        <v>1047</v>
      </c>
      <c r="K116" t="s">
        <v>735</v>
      </c>
      <c r="L116" t="s">
        <v>1048</v>
      </c>
      <c r="M116" t="s">
        <v>13</v>
      </c>
    </row>
    <row r="117" spans="1:13" x14ac:dyDescent="0.3">
      <c r="A117" t="s">
        <v>383</v>
      </c>
      <c r="B117" t="s">
        <v>427</v>
      </c>
      <c r="C117" t="s">
        <v>428</v>
      </c>
      <c r="D117" t="s">
        <v>177</v>
      </c>
      <c r="E117" t="s">
        <v>173</v>
      </c>
      <c r="F117" t="s">
        <v>113</v>
      </c>
      <c r="G117" t="s">
        <v>1006</v>
      </c>
      <c r="H117" t="s">
        <v>1049</v>
      </c>
      <c r="I117" t="s">
        <v>1050</v>
      </c>
      <c r="J117" t="s">
        <v>714</v>
      </c>
      <c r="K117" t="s">
        <v>691</v>
      </c>
      <c r="L117" t="s">
        <v>803</v>
      </c>
      <c r="M117" t="s">
        <v>13</v>
      </c>
    </row>
    <row r="118" spans="1:13" x14ac:dyDescent="0.3">
      <c r="A118" t="s">
        <v>383</v>
      </c>
      <c r="B118" t="s">
        <v>429</v>
      </c>
      <c r="C118" t="s">
        <v>430</v>
      </c>
      <c r="D118" t="s">
        <v>431</v>
      </c>
      <c r="E118" t="s">
        <v>243</v>
      </c>
      <c r="F118" t="s">
        <v>196</v>
      </c>
      <c r="G118" t="s">
        <v>1006</v>
      </c>
      <c r="H118" t="s">
        <v>1003</v>
      </c>
      <c r="I118" t="s">
        <v>954</v>
      </c>
      <c r="J118" t="s">
        <v>1051</v>
      </c>
      <c r="K118" t="s">
        <v>905</v>
      </c>
      <c r="L118" t="s">
        <v>1052</v>
      </c>
      <c r="M118" t="s">
        <v>13</v>
      </c>
    </row>
    <row r="119" spans="1:13" x14ac:dyDescent="0.3">
      <c r="A119" t="s">
        <v>383</v>
      </c>
      <c r="B119" t="s">
        <v>432</v>
      </c>
      <c r="C119" t="s">
        <v>433</v>
      </c>
      <c r="D119" t="s">
        <v>434</v>
      </c>
      <c r="E119" t="s">
        <v>294</v>
      </c>
      <c r="F119" t="s">
        <v>48</v>
      </c>
      <c r="G119" t="s">
        <v>1006</v>
      </c>
      <c r="H119" t="s">
        <v>985</v>
      </c>
      <c r="I119" t="s">
        <v>343</v>
      </c>
      <c r="J119" t="s">
        <v>1053</v>
      </c>
      <c r="K119" t="s">
        <v>986</v>
      </c>
      <c r="L119" t="s">
        <v>1054</v>
      </c>
      <c r="M119" t="s">
        <v>13</v>
      </c>
    </row>
    <row r="120" spans="1:13" x14ac:dyDescent="0.3">
      <c r="A120" t="s">
        <v>435</v>
      </c>
      <c r="B120" t="s">
        <v>436</v>
      </c>
      <c r="C120" t="s">
        <v>437</v>
      </c>
      <c r="D120" t="s">
        <v>388</v>
      </c>
      <c r="E120" t="s">
        <v>214</v>
      </c>
      <c r="F120" t="s">
        <v>96</v>
      </c>
      <c r="G120" t="s">
        <v>1055</v>
      </c>
      <c r="H120" t="s">
        <v>1033</v>
      </c>
      <c r="I120" t="s">
        <v>1056</v>
      </c>
      <c r="J120" t="s">
        <v>1057</v>
      </c>
      <c r="K120" t="s">
        <v>888</v>
      </c>
      <c r="L120" t="s">
        <v>1058</v>
      </c>
      <c r="M120" t="s">
        <v>13</v>
      </c>
    </row>
    <row r="121" spans="1:13" x14ac:dyDescent="0.3">
      <c r="A121" t="s">
        <v>435</v>
      </c>
      <c r="B121" t="s">
        <v>438</v>
      </c>
      <c r="C121" t="s">
        <v>439</v>
      </c>
      <c r="D121" t="s">
        <v>440</v>
      </c>
      <c r="E121" t="s">
        <v>214</v>
      </c>
      <c r="F121" t="s">
        <v>43</v>
      </c>
      <c r="G121" t="s">
        <v>1055</v>
      </c>
      <c r="H121" t="s">
        <v>865</v>
      </c>
      <c r="I121" t="s">
        <v>559</v>
      </c>
      <c r="J121" t="s">
        <v>1059</v>
      </c>
      <c r="K121" t="s">
        <v>900</v>
      </c>
      <c r="L121" t="s">
        <v>1060</v>
      </c>
      <c r="M121" t="s">
        <v>13</v>
      </c>
    </row>
    <row r="122" spans="1:13" x14ac:dyDescent="0.3">
      <c r="A122" t="s">
        <v>435</v>
      </c>
      <c r="B122" t="s">
        <v>441</v>
      </c>
      <c r="C122" t="s">
        <v>442</v>
      </c>
      <c r="D122" t="s">
        <v>443</v>
      </c>
      <c r="E122" t="s">
        <v>243</v>
      </c>
      <c r="F122" t="s">
        <v>107</v>
      </c>
      <c r="G122" t="s">
        <v>1055</v>
      </c>
      <c r="H122" t="s">
        <v>959</v>
      </c>
      <c r="I122" t="s">
        <v>1061</v>
      </c>
      <c r="J122" t="s">
        <v>817</v>
      </c>
      <c r="K122" t="s">
        <v>857</v>
      </c>
      <c r="L122" t="s">
        <v>884</v>
      </c>
      <c r="M122" t="s">
        <v>13</v>
      </c>
    </row>
    <row r="123" spans="1:13" x14ac:dyDescent="0.3">
      <c r="A123" t="s">
        <v>435</v>
      </c>
      <c r="B123" t="s">
        <v>444</v>
      </c>
      <c r="C123" t="s">
        <v>445</v>
      </c>
      <c r="D123" t="s">
        <v>446</v>
      </c>
      <c r="E123" t="s">
        <v>356</v>
      </c>
      <c r="F123" t="s">
        <v>96</v>
      </c>
      <c r="G123" t="s">
        <v>1055</v>
      </c>
      <c r="H123" t="s">
        <v>873</v>
      </c>
      <c r="I123" t="s">
        <v>1046</v>
      </c>
      <c r="J123" t="s">
        <v>769</v>
      </c>
      <c r="K123" t="s">
        <v>828</v>
      </c>
      <c r="L123" t="s">
        <v>1062</v>
      </c>
      <c r="M123" t="s">
        <v>13</v>
      </c>
    </row>
    <row r="124" spans="1:13" x14ac:dyDescent="0.3">
      <c r="A124" t="s">
        <v>435</v>
      </c>
      <c r="B124" t="s">
        <v>447</v>
      </c>
      <c r="C124" t="s">
        <v>448</v>
      </c>
      <c r="D124" t="s">
        <v>449</v>
      </c>
      <c r="E124" t="s">
        <v>150</v>
      </c>
      <c r="F124" t="s">
        <v>450</v>
      </c>
      <c r="G124" t="s">
        <v>1055</v>
      </c>
      <c r="H124" t="s">
        <v>1011</v>
      </c>
      <c r="I124" t="s">
        <v>267</v>
      </c>
      <c r="J124" t="s">
        <v>1035</v>
      </c>
      <c r="K124" t="s">
        <v>711</v>
      </c>
      <c r="L124" t="s">
        <v>1063</v>
      </c>
      <c r="M124" t="s">
        <v>13</v>
      </c>
    </row>
    <row r="125" spans="1:13" x14ac:dyDescent="0.3">
      <c r="A125" t="s">
        <v>435</v>
      </c>
      <c r="B125" t="s">
        <v>451</v>
      </c>
      <c r="C125" t="s">
        <v>452</v>
      </c>
      <c r="D125" t="s">
        <v>290</v>
      </c>
      <c r="E125" t="s">
        <v>58</v>
      </c>
      <c r="F125" t="s">
        <v>453</v>
      </c>
      <c r="G125" t="s">
        <v>1055</v>
      </c>
      <c r="H125" t="s">
        <v>1064</v>
      </c>
      <c r="I125" t="s">
        <v>483</v>
      </c>
      <c r="J125" t="s">
        <v>1065</v>
      </c>
      <c r="K125" t="s">
        <v>1066</v>
      </c>
      <c r="L125" t="s">
        <v>1067</v>
      </c>
      <c r="M125" t="s">
        <v>13</v>
      </c>
    </row>
    <row r="126" spans="1:13" x14ac:dyDescent="0.3">
      <c r="A126" t="s">
        <v>435</v>
      </c>
      <c r="B126" t="s">
        <v>454</v>
      </c>
      <c r="C126" t="s">
        <v>455</v>
      </c>
      <c r="D126" t="s">
        <v>456</v>
      </c>
      <c r="E126" t="s">
        <v>316</v>
      </c>
      <c r="F126" t="s">
        <v>457</v>
      </c>
      <c r="G126" t="s">
        <v>1055</v>
      </c>
      <c r="H126" t="s">
        <v>303</v>
      </c>
      <c r="I126" t="s">
        <v>565</v>
      </c>
      <c r="J126" t="s">
        <v>1068</v>
      </c>
      <c r="K126" t="s">
        <v>928</v>
      </c>
      <c r="L126" t="s">
        <v>959</v>
      </c>
      <c r="M126" t="s">
        <v>13</v>
      </c>
    </row>
    <row r="127" spans="1:13" x14ac:dyDescent="0.3">
      <c r="A127" t="s">
        <v>435</v>
      </c>
      <c r="B127" t="s">
        <v>458</v>
      </c>
      <c r="C127" t="s">
        <v>459</v>
      </c>
      <c r="D127" t="s">
        <v>346</v>
      </c>
      <c r="E127" t="s">
        <v>64</v>
      </c>
      <c r="F127" t="s">
        <v>460</v>
      </c>
      <c r="G127" t="s">
        <v>1055</v>
      </c>
      <c r="H127" t="s">
        <v>950</v>
      </c>
      <c r="I127" t="s">
        <v>1069</v>
      </c>
      <c r="J127" t="s">
        <v>876</v>
      </c>
      <c r="K127" t="s">
        <v>878</v>
      </c>
      <c r="L127" t="s">
        <v>766</v>
      </c>
      <c r="M127" t="s">
        <v>13</v>
      </c>
    </row>
    <row r="128" spans="1:13" x14ac:dyDescent="0.3">
      <c r="A128" t="s">
        <v>435</v>
      </c>
      <c r="B128" t="s">
        <v>461</v>
      </c>
      <c r="C128" t="s">
        <v>462</v>
      </c>
      <c r="D128" t="s">
        <v>463</v>
      </c>
      <c r="E128" t="s">
        <v>464</v>
      </c>
      <c r="F128" t="s">
        <v>465</v>
      </c>
      <c r="G128" t="s">
        <v>1055</v>
      </c>
      <c r="H128" t="s">
        <v>1013</v>
      </c>
      <c r="I128" t="s">
        <v>612</v>
      </c>
      <c r="J128" t="s">
        <v>769</v>
      </c>
      <c r="K128" t="s">
        <v>919</v>
      </c>
      <c r="L128" t="s">
        <v>1070</v>
      </c>
      <c r="M128" t="s">
        <v>13</v>
      </c>
    </row>
    <row r="129" spans="1:13" x14ac:dyDescent="0.3">
      <c r="A129" t="s">
        <v>435</v>
      </c>
      <c r="B129" t="s">
        <v>466</v>
      </c>
      <c r="C129" t="s">
        <v>467</v>
      </c>
      <c r="D129" t="s">
        <v>468</v>
      </c>
      <c r="E129" t="s">
        <v>134</v>
      </c>
      <c r="F129" t="s">
        <v>19</v>
      </c>
      <c r="G129" t="s">
        <v>1055</v>
      </c>
      <c r="H129" t="s">
        <v>999</v>
      </c>
      <c r="I129" t="s">
        <v>1043</v>
      </c>
      <c r="J129" t="s">
        <v>769</v>
      </c>
      <c r="K129" t="s">
        <v>811</v>
      </c>
      <c r="L129" t="s">
        <v>753</v>
      </c>
      <c r="M129" t="s">
        <v>13</v>
      </c>
    </row>
    <row r="130" spans="1:13" x14ac:dyDescent="0.3">
      <c r="A130" t="s">
        <v>435</v>
      </c>
      <c r="B130" t="s">
        <v>469</v>
      </c>
      <c r="C130" t="s">
        <v>470</v>
      </c>
      <c r="D130" t="s">
        <v>471</v>
      </c>
      <c r="E130" t="s">
        <v>415</v>
      </c>
      <c r="F130" t="s">
        <v>37</v>
      </c>
      <c r="G130" t="s">
        <v>1055</v>
      </c>
      <c r="H130" t="s">
        <v>1071</v>
      </c>
      <c r="I130" t="s">
        <v>1072</v>
      </c>
      <c r="J130" t="s">
        <v>1073</v>
      </c>
      <c r="K130" t="s">
        <v>873</v>
      </c>
      <c r="L130" t="s">
        <v>881</v>
      </c>
      <c r="M130" t="s">
        <v>13</v>
      </c>
    </row>
    <row r="131" spans="1:13" x14ac:dyDescent="0.3">
      <c r="A131" t="s">
        <v>472</v>
      </c>
      <c r="B131" t="s">
        <v>473</v>
      </c>
      <c r="C131" t="s">
        <v>474</v>
      </c>
      <c r="D131" t="s">
        <v>475</v>
      </c>
      <c r="E131" t="s">
        <v>415</v>
      </c>
      <c r="F131" t="s">
        <v>231</v>
      </c>
      <c r="G131" t="s">
        <v>1074</v>
      </c>
      <c r="H131" t="s">
        <v>1029</v>
      </c>
      <c r="I131" t="s">
        <v>184</v>
      </c>
      <c r="J131" t="s">
        <v>722</v>
      </c>
      <c r="K131" t="s">
        <v>889</v>
      </c>
      <c r="L131" t="s">
        <v>950</v>
      </c>
      <c r="M131" t="s">
        <v>13</v>
      </c>
    </row>
    <row r="132" spans="1:13" x14ac:dyDescent="0.3">
      <c r="A132" t="s">
        <v>472</v>
      </c>
      <c r="B132" t="s">
        <v>476</v>
      </c>
      <c r="C132" t="s">
        <v>477</v>
      </c>
      <c r="D132" t="s">
        <v>213</v>
      </c>
      <c r="E132" t="s">
        <v>307</v>
      </c>
      <c r="F132" t="s">
        <v>12</v>
      </c>
      <c r="G132" t="s">
        <v>1074</v>
      </c>
      <c r="H132" t="s">
        <v>369</v>
      </c>
      <c r="I132" t="s">
        <v>529</v>
      </c>
      <c r="J132" t="s">
        <v>1027</v>
      </c>
      <c r="K132" t="s">
        <v>1075</v>
      </c>
      <c r="L132" t="s">
        <v>902</v>
      </c>
      <c r="M132" t="s">
        <v>13</v>
      </c>
    </row>
    <row r="133" spans="1:13" x14ac:dyDescent="0.3">
      <c r="A133" t="s">
        <v>472</v>
      </c>
      <c r="B133" t="s">
        <v>478</v>
      </c>
      <c r="C133" t="s">
        <v>479</v>
      </c>
      <c r="D133" t="s">
        <v>480</v>
      </c>
      <c r="E133" t="s">
        <v>316</v>
      </c>
      <c r="F133" t="s">
        <v>107</v>
      </c>
      <c r="G133" t="s">
        <v>1074</v>
      </c>
      <c r="H133" t="s">
        <v>526</v>
      </c>
      <c r="I133" t="s">
        <v>1029</v>
      </c>
      <c r="J133" t="s">
        <v>843</v>
      </c>
      <c r="K133" t="s">
        <v>1076</v>
      </c>
      <c r="L133" t="s">
        <v>1077</v>
      </c>
      <c r="M133" t="s">
        <v>13</v>
      </c>
    </row>
    <row r="134" spans="1:13" x14ac:dyDescent="0.3">
      <c r="A134" t="s">
        <v>472</v>
      </c>
      <c r="B134" t="s">
        <v>481</v>
      </c>
      <c r="C134" t="s">
        <v>482</v>
      </c>
      <c r="D134" t="s">
        <v>483</v>
      </c>
      <c r="E134" t="s">
        <v>214</v>
      </c>
      <c r="F134" t="s">
        <v>43</v>
      </c>
      <c r="G134" t="s">
        <v>1074</v>
      </c>
      <c r="H134" t="s">
        <v>1030</v>
      </c>
      <c r="I134" t="s">
        <v>1078</v>
      </c>
      <c r="J134" t="s">
        <v>856</v>
      </c>
      <c r="K134" t="s">
        <v>1079</v>
      </c>
      <c r="L134" t="s">
        <v>1080</v>
      </c>
      <c r="M134" t="s">
        <v>13</v>
      </c>
    </row>
    <row r="135" spans="1:13" x14ac:dyDescent="0.3">
      <c r="A135" t="s">
        <v>472</v>
      </c>
      <c r="B135" t="s">
        <v>484</v>
      </c>
      <c r="C135" t="s">
        <v>485</v>
      </c>
      <c r="D135" t="s">
        <v>486</v>
      </c>
      <c r="E135" t="s">
        <v>415</v>
      </c>
      <c r="F135" t="s">
        <v>231</v>
      </c>
      <c r="G135" t="s">
        <v>1074</v>
      </c>
      <c r="H135" t="s">
        <v>915</v>
      </c>
      <c r="I135" t="s">
        <v>942</v>
      </c>
      <c r="J135" t="s">
        <v>891</v>
      </c>
      <c r="K135" t="s">
        <v>818</v>
      </c>
      <c r="L135" t="s">
        <v>1081</v>
      </c>
      <c r="M135" t="s">
        <v>13</v>
      </c>
    </row>
    <row r="136" spans="1:13" x14ac:dyDescent="0.3">
      <c r="A136" t="s">
        <v>472</v>
      </c>
      <c r="B136" t="s">
        <v>487</v>
      </c>
      <c r="C136" t="s">
        <v>488</v>
      </c>
      <c r="D136" t="s">
        <v>489</v>
      </c>
      <c r="E136" t="s">
        <v>307</v>
      </c>
      <c r="F136" t="s">
        <v>259</v>
      </c>
      <c r="G136" t="s">
        <v>1074</v>
      </c>
      <c r="H136" t="s">
        <v>877</v>
      </c>
      <c r="I136" t="s">
        <v>489</v>
      </c>
      <c r="J136" t="s">
        <v>1082</v>
      </c>
      <c r="K136" t="s">
        <v>927</v>
      </c>
      <c r="L136" t="s">
        <v>977</v>
      </c>
      <c r="M136" t="s">
        <v>13</v>
      </c>
    </row>
    <row r="137" spans="1:13" x14ac:dyDescent="0.3">
      <c r="A137" t="s">
        <v>472</v>
      </c>
      <c r="B137" t="s">
        <v>490</v>
      </c>
      <c r="C137" t="s">
        <v>491</v>
      </c>
      <c r="D137" t="s">
        <v>192</v>
      </c>
      <c r="E137" t="s">
        <v>307</v>
      </c>
      <c r="F137" t="s">
        <v>129</v>
      </c>
      <c r="G137" t="s">
        <v>1074</v>
      </c>
      <c r="H137" t="s">
        <v>987</v>
      </c>
      <c r="I137" t="s">
        <v>1083</v>
      </c>
      <c r="J137" t="s">
        <v>1009</v>
      </c>
      <c r="K137" t="s">
        <v>919</v>
      </c>
      <c r="L137" t="s">
        <v>1010</v>
      </c>
      <c r="M137" t="s">
        <v>13</v>
      </c>
    </row>
    <row r="138" spans="1:13" x14ac:dyDescent="0.3">
      <c r="A138" t="s">
        <v>472</v>
      </c>
      <c r="B138" t="s">
        <v>492</v>
      </c>
      <c r="C138" t="s">
        <v>493</v>
      </c>
      <c r="D138" t="s">
        <v>434</v>
      </c>
      <c r="E138" t="s">
        <v>316</v>
      </c>
      <c r="F138" t="s">
        <v>151</v>
      </c>
      <c r="G138" t="s">
        <v>1074</v>
      </c>
      <c r="H138" t="s">
        <v>859</v>
      </c>
      <c r="I138" t="s">
        <v>1084</v>
      </c>
      <c r="J138" t="s">
        <v>966</v>
      </c>
      <c r="K138" t="s">
        <v>1011</v>
      </c>
      <c r="L138" t="s">
        <v>306</v>
      </c>
      <c r="M138" t="s">
        <v>13</v>
      </c>
    </row>
    <row r="139" spans="1:13" x14ac:dyDescent="0.3">
      <c r="A139" t="s">
        <v>472</v>
      </c>
      <c r="B139" t="s">
        <v>494</v>
      </c>
      <c r="C139" t="s">
        <v>495</v>
      </c>
      <c r="D139" t="s">
        <v>242</v>
      </c>
      <c r="E139" t="s">
        <v>150</v>
      </c>
      <c r="F139" t="s">
        <v>19</v>
      </c>
      <c r="G139" t="s">
        <v>1074</v>
      </c>
      <c r="H139" t="s">
        <v>1085</v>
      </c>
      <c r="I139" t="s">
        <v>615</v>
      </c>
      <c r="J139" t="s">
        <v>868</v>
      </c>
      <c r="K139" t="s">
        <v>1038</v>
      </c>
      <c r="L139" t="s">
        <v>1004</v>
      </c>
      <c r="M139" t="s">
        <v>13</v>
      </c>
    </row>
    <row r="140" spans="1:13" x14ac:dyDescent="0.3">
      <c r="A140" t="s">
        <v>472</v>
      </c>
      <c r="B140" t="s">
        <v>496</v>
      </c>
      <c r="C140" t="s">
        <v>497</v>
      </c>
      <c r="D140" t="s">
        <v>251</v>
      </c>
      <c r="E140" t="s">
        <v>150</v>
      </c>
      <c r="F140" t="s">
        <v>43</v>
      </c>
      <c r="G140" t="s">
        <v>1074</v>
      </c>
      <c r="H140" t="s">
        <v>1086</v>
      </c>
      <c r="I140" t="s">
        <v>480</v>
      </c>
      <c r="J140" t="s">
        <v>844</v>
      </c>
      <c r="K140" t="s">
        <v>924</v>
      </c>
      <c r="L140" t="s">
        <v>1080</v>
      </c>
      <c r="M140" t="s">
        <v>13</v>
      </c>
    </row>
    <row r="141" spans="1:13" x14ac:dyDescent="0.3">
      <c r="A141" t="s">
        <v>472</v>
      </c>
      <c r="B141" t="s">
        <v>498</v>
      </c>
      <c r="C141" t="s">
        <v>499</v>
      </c>
      <c r="D141" t="s">
        <v>199</v>
      </c>
      <c r="E141" t="s">
        <v>91</v>
      </c>
      <c r="F141" t="s">
        <v>500</v>
      </c>
      <c r="G141" t="s">
        <v>1074</v>
      </c>
      <c r="H141" t="s">
        <v>969</v>
      </c>
      <c r="I141" t="s">
        <v>1087</v>
      </c>
      <c r="J141" t="s">
        <v>1088</v>
      </c>
      <c r="K141" t="s">
        <v>877</v>
      </c>
      <c r="L141" t="s">
        <v>1089</v>
      </c>
      <c r="M141" t="s">
        <v>13</v>
      </c>
    </row>
    <row r="142" spans="1:13" x14ac:dyDescent="0.3">
      <c r="A142" t="s">
        <v>472</v>
      </c>
      <c r="B142" t="s">
        <v>501</v>
      </c>
      <c r="C142" t="s">
        <v>502</v>
      </c>
      <c r="D142" t="s">
        <v>503</v>
      </c>
      <c r="E142" t="s">
        <v>150</v>
      </c>
      <c r="F142" t="s">
        <v>500</v>
      </c>
      <c r="G142" t="s">
        <v>1074</v>
      </c>
      <c r="H142" t="s">
        <v>1013</v>
      </c>
      <c r="I142" t="s">
        <v>1090</v>
      </c>
      <c r="J142" t="s">
        <v>1091</v>
      </c>
      <c r="K142" t="s">
        <v>1011</v>
      </c>
      <c r="L142" t="s">
        <v>811</v>
      </c>
      <c r="M142" t="s">
        <v>13</v>
      </c>
    </row>
    <row r="143" spans="1:13" x14ac:dyDescent="0.3">
      <c r="A143" t="s">
        <v>472</v>
      </c>
      <c r="B143" t="s">
        <v>504</v>
      </c>
      <c r="C143" t="s">
        <v>505</v>
      </c>
      <c r="D143" t="s">
        <v>336</v>
      </c>
      <c r="E143" t="s">
        <v>316</v>
      </c>
      <c r="F143" t="s">
        <v>151</v>
      </c>
      <c r="G143" t="s">
        <v>1074</v>
      </c>
      <c r="H143" t="s">
        <v>526</v>
      </c>
      <c r="I143" t="s">
        <v>293</v>
      </c>
      <c r="J143" t="s">
        <v>1092</v>
      </c>
      <c r="K143" t="s">
        <v>848</v>
      </c>
      <c r="L143" t="s">
        <v>1019</v>
      </c>
      <c r="M143" t="s">
        <v>13</v>
      </c>
    </row>
    <row r="144" spans="1:13" x14ac:dyDescent="0.3">
      <c r="A144" t="s">
        <v>472</v>
      </c>
      <c r="B144" t="s">
        <v>506</v>
      </c>
      <c r="C144" t="s">
        <v>507</v>
      </c>
      <c r="D144" t="s">
        <v>508</v>
      </c>
      <c r="E144" t="s">
        <v>324</v>
      </c>
      <c r="F144" t="s">
        <v>113</v>
      </c>
      <c r="G144" t="s">
        <v>1074</v>
      </c>
      <c r="H144" t="s">
        <v>1093</v>
      </c>
      <c r="I144" t="s">
        <v>1094</v>
      </c>
      <c r="J144" t="s">
        <v>809</v>
      </c>
      <c r="K144" t="s">
        <v>1095</v>
      </c>
      <c r="L144" t="s">
        <v>895</v>
      </c>
      <c r="M144" t="s">
        <v>13</v>
      </c>
    </row>
    <row r="145" spans="1:13" x14ac:dyDescent="0.3">
      <c r="A145" t="s">
        <v>472</v>
      </c>
      <c r="B145" t="s">
        <v>509</v>
      </c>
      <c r="C145" t="s">
        <v>510</v>
      </c>
      <c r="D145" t="s">
        <v>475</v>
      </c>
      <c r="E145" t="s">
        <v>316</v>
      </c>
      <c r="F145" t="s">
        <v>96</v>
      </c>
      <c r="G145" t="s">
        <v>1074</v>
      </c>
      <c r="H145" t="s">
        <v>1096</v>
      </c>
      <c r="I145" t="s">
        <v>1064</v>
      </c>
      <c r="J145" t="s">
        <v>686</v>
      </c>
      <c r="K145" t="s">
        <v>1097</v>
      </c>
      <c r="L145" t="s">
        <v>897</v>
      </c>
      <c r="M145" t="s">
        <v>13</v>
      </c>
    </row>
    <row r="146" spans="1:13" x14ac:dyDescent="0.3">
      <c r="A146" t="s">
        <v>472</v>
      </c>
      <c r="B146" t="s">
        <v>511</v>
      </c>
      <c r="C146" t="s">
        <v>512</v>
      </c>
      <c r="D146" t="s">
        <v>180</v>
      </c>
      <c r="E146" t="s">
        <v>307</v>
      </c>
      <c r="F146" t="s">
        <v>69</v>
      </c>
      <c r="G146" t="s">
        <v>1074</v>
      </c>
      <c r="H146" t="s">
        <v>1061</v>
      </c>
      <c r="I146" t="s">
        <v>255</v>
      </c>
      <c r="J146" t="s">
        <v>1098</v>
      </c>
      <c r="K146" t="s">
        <v>900</v>
      </c>
      <c r="L146" t="s">
        <v>1005</v>
      </c>
      <c r="M146" t="s">
        <v>13</v>
      </c>
    </row>
    <row r="147" spans="1:13" x14ac:dyDescent="0.3">
      <c r="A147" t="s">
        <v>472</v>
      </c>
      <c r="B147" t="s">
        <v>513</v>
      </c>
      <c r="C147" t="s">
        <v>514</v>
      </c>
      <c r="D147" t="s">
        <v>515</v>
      </c>
      <c r="E147" t="s">
        <v>415</v>
      </c>
      <c r="F147" t="s">
        <v>325</v>
      </c>
      <c r="G147" t="s">
        <v>1074</v>
      </c>
      <c r="H147" t="s">
        <v>1013</v>
      </c>
      <c r="I147" t="s">
        <v>255</v>
      </c>
      <c r="J147" t="s">
        <v>912</v>
      </c>
      <c r="K147" t="s">
        <v>1003</v>
      </c>
      <c r="L147" t="s">
        <v>475</v>
      </c>
      <c r="M147" t="s">
        <v>13</v>
      </c>
    </row>
    <row r="148" spans="1:13" x14ac:dyDescent="0.3">
      <c r="A148" t="s">
        <v>472</v>
      </c>
      <c r="B148" t="s">
        <v>516</v>
      </c>
      <c r="C148" t="s">
        <v>517</v>
      </c>
      <c r="D148" t="s">
        <v>518</v>
      </c>
      <c r="E148" t="s">
        <v>316</v>
      </c>
      <c r="F148" t="s">
        <v>231</v>
      </c>
      <c r="G148" t="s">
        <v>1074</v>
      </c>
      <c r="H148" t="s">
        <v>1099</v>
      </c>
      <c r="I148" t="s">
        <v>127</v>
      </c>
      <c r="J148" t="s">
        <v>847</v>
      </c>
      <c r="K148" t="s">
        <v>985</v>
      </c>
      <c r="L148" t="s">
        <v>1049</v>
      </c>
      <c r="M148" t="s">
        <v>13</v>
      </c>
    </row>
    <row r="149" spans="1:13" x14ac:dyDescent="0.3">
      <c r="A149" t="s">
        <v>472</v>
      </c>
      <c r="B149" t="s">
        <v>519</v>
      </c>
      <c r="C149" t="s">
        <v>520</v>
      </c>
      <c r="D149" t="s">
        <v>225</v>
      </c>
      <c r="E149" t="s">
        <v>324</v>
      </c>
      <c r="F149" t="s">
        <v>151</v>
      </c>
      <c r="G149" t="s">
        <v>1074</v>
      </c>
      <c r="H149" t="s">
        <v>1100</v>
      </c>
      <c r="I149" t="s">
        <v>122</v>
      </c>
      <c r="J149" t="s">
        <v>654</v>
      </c>
      <c r="K149" t="s">
        <v>1101</v>
      </c>
      <c r="L149" t="s">
        <v>1102</v>
      </c>
      <c r="M149" t="s">
        <v>13</v>
      </c>
    </row>
    <row r="150" spans="1:13" x14ac:dyDescent="0.3">
      <c r="A150" t="s">
        <v>472</v>
      </c>
      <c r="B150" t="s">
        <v>521</v>
      </c>
      <c r="C150" t="s">
        <v>522</v>
      </c>
      <c r="D150" t="s">
        <v>523</v>
      </c>
      <c r="E150" t="s">
        <v>150</v>
      </c>
      <c r="F150" t="s">
        <v>69</v>
      </c>
      <c r="G150" t="s">
        <v>1074</v>
      </c>
      <c r="H150" t="s">
        <v>405</v>
      </c>
      <c r="I150" t="s">
        <v>377</v>
      </c>
      <c r="J150" t="s">
        <v>714</v>
      </c>
      <c r="K150" t="s">
        <v>976</v>
      </c>
      <c r="L150" t="s">
        <v>1003</v>
      </c>
      <c r="M150" t="s">
        <v>13</v>
      </c>
    </row>
    <row r="151" spans="1:13" x14ac:dyDescent="0.3">
      <c r="A151" t="s">
        <v>472</v>
      </c>
      <c r="B151" t="s">
        <v>524</v>
      </c>
      <c r="C151" t="s">
        <v>525</v>
      </c>
      <c r="D151" t="s">
        <v>526</v>
      </c>
      <c r="E151" t="s">
        <v>294</v>
      </c>
      <c r="F151" t="s">
        <v>96</v>
      </c>
      <c r="G151" t="s">
        <v>1074</v>
      </c>
      <c r="H151" t="s">
        <v>515</v>
      </c>
      <c r="I151" t="s">
        <v>1071</v>
      </c>
      <c r="J151" t="s">
        <v>1103</v>
      </c>
      <c r="K151" t="s">
        <v>1021</v>
      </c>
      <c r="L151" t="s">
        <v>1104</v>
      </c>
      <c r="M151" t="s">
        <v>13</v>
      </c>
    </row>
    <row r="152" spans="1:13" x14ac:dyDescent="0.3">
      <c r="A152" t="s">
        <v>472</v>
      </c>
      <c r="B152" t="s">
        <v>527</v>
      </c>
      <c r="C152" t="s">
        <v>528</v>
      </c>
      <c r="D152" t="s">
        <v>529</v>
      </c>
      <c r="E152" t="s">
        <v>214</v>
      </c>
      <c r="F152" t="s">
        <v>113</v>
      </c>
      <c r="G152" t="s">
        <v>1074</v>
      </c>
      <c r="H152" t="s">
        <v>880</v>
      </c>
      <c r="I152" t="s">
        <v>1105</v>
      </c>
      <c r="J152" t="s">
        <v>1063</v>
      </c>
      <c r="K152" t="s">
        <v>1038</v>
      </c>
      <c r="L152" t="s">
        <v>1106</v>
      </c>
      <c r="M152" t="s">
        <v>13</v>
      </c>
    </row>
    <row r="153" spans="1:13" x14ac:dyDescent="0.3">
      <c r="A153" t="s">
        <v>472</v>
      </c>
      <c r="B153" t="s">
        <v>530</v>
      </c>
      <c r="C153" t="s">
        <v>531</v>
      </c>
      <c r="D153" t="s">
        <v>336</v>
      </c>
      <c r="E153" t="s">
        <v>123</v>
      </c>
      <c r="F153" t="s">
        <v>37</v>
      </c>
      <c r="G153" t="s">
        <v>1074</v>
      </c>
      <c r="H153" t="s">
        <v>1107</v>
      </c>
      <c r="I153" t="s">
        <v>100</v>
      </c>
      <c r="J153" t="s">
        <v>814</v>
      </c>
      <c r="K153" t="s">
        <v>1095</v>
      </c>
      <c r="L153" t="s">
        <v>1108</v>
      </c>
      <c r="M153" t="s">
        <v>13</v>
      </c>
    </row>
    <row r="154" spans="1:13" x14ac:dyDescent="0.3">
      <c r="A154" t="s">
        <v>472</v>
      </c>
      <c r="B154" t="s">
        <v>532</v>
      </c>
      <c r="C154" t="s">
        <v>533</v>
      </c>
      <c r="D154" t="s">
        <v>293</v>
      </c>
      <c r="E154" t="s">
        <v>534</v>
      </c>
      <c r="F154" t="s">
        <v>151</v>
      </c>
      <c r="G154" t="s">
        <v>1074</v>
      </c>
      <c r="H154" t="s">
        <v>1109</v>
      </c>
      <c r="I154" t="s">
        <v>79</v>
      </c>
      <c r="J154" t="s">
        <v>740</v>
      </c>
      <c r="K154" t="s">
        <v>948</v>
      </c>
      <c r="L154" t="s">
        <v>1110</v>
      </c>
      <c r="M154" t="s">
        <v>13</v>
      </c>
    </row>
    <row r="155" spans="1:13" x14ac:dyDescent="0.3">
      <c r="A155" t="s">
        <v>472</v>
      </c>
      <c r="B155" t="s">
        <v>535</v>
      </c>
      <c r="C155" t="s">
        <v>536</v>
      </c>
      <c r="D155" t="s">
        <v>537</v>
      </c>
      <c r="E155" t="s">
        <v>243</v>
      </c>
      <c r="F155" t="s">
        <v>196</v>
      </c>
      <c r="G155" t="s">
        <v>1074</v>
      </c>
      <c r="H155" t="s">
        <v>615</v>
      </c>
      <c r="I155" t="s">
        <v>1111</v>
      </c>
      <c r="J155" t="s">
        <v>765</v>
      </c>
      <c r="K155" t="s">
        <v>857</v>
      </c>
      <c r="L155" t="s">
        <v>1101</v>
      </c>
      <c r="M155" t="s">
        <v>13</v>
      </c>
    </row>
    <row r="156" spans="1:13" x14ac:dyDescent="0.3">
      <c r="A156" t="s">
        <v>472</v>
      </c>
      <c r="B156" t="s">
        <v>538</v>
      </c>
      <c r="C156" t="s">
        <v>539</v>
      </c>
      <c r="D156" t="s">
        <v>350</v>
      </c>
      <c r="E156" t="s">
        <v>181</v>
      </c>
      <c r="F156" t="s">
        <v>540</v>
      </c>
      <c r="G156" t="s">
        <v>1074</v>
      </c>
      <c r="H156" t="s">
        <v>981</v>
      </c>
      <c r="I156" t="s">
        <v>300</v>
      </c>
      <c r="J156" t="s">
        <v>1112</v>
      </c>
      <c r="K156" t="s">
        <v>1038</v>
      </c>
      <c r="L156" t="s">
        <v>1113</v>
      </c>
      <c r="M156" t="s">
        <v>13</v>
      </c>
    </row>
    <row r="157" spans="1:13" x14ac:dyDescent="0.3">
      <c r="A157" t="s">
        <v>541</v>
      </c>
      <c r="B157" t="s">
        <v>542</v>
      </c>
      <c r="C157" t="s">
        <v>543</v>
      </c>
      <c r="D157" t="s">
        <v>410</v>
      </c>
      <c r="E157" t="s">
        <v>243</v>
      </c>
      <c r="F157" t="s">
        <v>151</v>
      </c>
      <c r="G157" t="s">
        <v>1114</v>
      </c>
      <c r="H157" t="s">
        <v>1115</v>
      </c>
      <c r="I157" t="s">
        <v>346</v>
      </c>
      <c r="J157" t="s">
        <v>1102</v>
      </c>
      <c r="K157" t="s">
        <v>1097</v>
      </c>
      <c r="L157" t="s">
        <v>1116</v>
      </c>
      <c r="M157" t="s">
        <v>13</v>
      </c>
    </row>
    <row r="158" spans="1:13" x14ac:dyDescent="0.3">
      <c r="A158" t="s">
        <v>541</v>
      </c>
      <c r="B158" t="s">
        <v>544</v>
      </c>
      <c r="C158" t="s">
        <v>545</v>
      </c>
      <c r="D158" t="s">
        <v>180</v>
      </c>
      <c r="E158" t="s">
        <v>415</v>
      </c>
      <c r="F158" t="s">
        <v>96</v>
      </c>
      <c r="G158" t="s">
        <v>1114</v>
      </c>
      <c r="H158" t="s">
        <v>443</v>
      </c>
      <c r="I158" t="s">
        <v>364</v>
      </c>
      <c r="J158" t="s">
        <v>818</v>
      </c>
      <c r="K158" t="s">
        <v>1101</v>
      </c>
      <c r="L158" t="s">
        <v>440</v>
      </c>
      <c r="M158" t="s">
        <v>13</v>
      </c>
    </row>
    <row r="159" spans="1:13" x14ac:dyDescent="0.3">
      <c r="A159" t="s">
        <v>541</v>
      </c>
      <c r="B159" t="s">
        <v>546</v>
      </c>
      <c r="C159" t="s">
        <v>547</v>
      </c>
      <c r="D159" t="s">
        <v>410</v>
      </c>
      <c r="E159" t="s">
        <v>534</v>
      </c>
      <c r="F159" t="s">
        <v>325</v>
      </c>
      <c r="G159" t="s">
        <v>1114</v>
      </c>
      <c r="H159" t="s">
        <v>961</v>
      </c>
      <c r="I159" t="s">
        <v>279</v>
      </c>
      <c r="J159" t="s">
        <v>907</v>
      </c>
      <c r="K159" t="s">
        <v>1117</v>
      </c>
      <c r="L159" t="s">
        <v>984</v>
      </c>
      <c r="M159" t="s">
        <v>13</v>
      </c>
    </row>
    <row r="160" spans="1:13" x14ac:dyDescent="0.3">
      <c r="A160" t="s">
        <v>541</v>
      </c>
      <c r="B160" t="s">
        <v>548</v>
      </c>
      <c r="C160" t="s">
        <v>549</v>
      </c>
      <c r="D160" t="s">
        <v>550</v>
      </c>
      <c r="E160" t="s">
        <v>123</v>
      </c>
      <c r="F160" t="s">
        <v>96</v>
      </c>
      <c r="G160" t="s">
        <v>1114</v>
      </c>
      <c r="H160" t="s">
        <v>1118</v>
      </c>
      <c r="I160" t="s">
        <v>300</v>
      </c>
      <c r="J160" t="s">
        <v>863</v>
      </c>
      <c r="K160" t="s">
        <v>794</v>
      </c>
      <c r="L160" t="s">
        <v>1119</v>
      </c>
      <c r="M160" t="s">
        <v>13</v>
      </c>
    </row>
    <row r="161" spans="1:13" x14ac:dyDescent="0.3">
      <c r="A161" t="s">
        <v>541</v>
      </c>
      <c r="B161" t="s">
        <v>551</v>
      </c>
      <c r="C161" t="s">
        <v>552</v>
      </c>
      <c r="D161" t="s">
        <v>553</v>
      </c>
      <c r="E161" t="s">
        <v>24</v>
      </c>
      <c r="F161" t="s">
        <v>554</v>
      </c>
      <c r="G161" t="s">
        <v>1114</v>
      </c>
      <c r="H161" t="s">
        <v>1120</v>
      </c>
      <c r="I161" t="s">
        <v>1121</v>
      </c>
      <c r="J161" t="s">
        <v>1122</v>
      </c>
      <c r="K161" t="s">
        <v>1054</v>
      </c>
      <c r="L161" t="s">
        <v>796</v>
      </c>
      <c r="M161" t="s">
        <v>13</v>
      </c>
    </row>
    <row r="162" spans="1:13" x14ac:dyDescent="0.3">
      <c r="A162" t="s">
        <v>541</v>
      </c>
      <c r="B162" t="s">
        <v>555</v>
      </c>
      <c r="C162" t="s">
        <v>556</v>
      </c>
      <c r="D162" t="s">
        <v>508</v>
      </c>
      <c r="E162" t="s">
        <v>307</v>
      </c>
      <c r="F162" t="s">
        <v>259</v>
      </c>
      <c r="G162" t="s">
        <v>1114</v>
      </c>
      <c r="H162" t="s">
        <v>475</v>
      </c>
      <c r="I162" t="s">
        <v>508</v>
      </c>
      <c r="J162" t="s">
        <v>632</v>
      </c>
      <c r="K162" t="s">
        <v>828</v>
      </c>
      <c r="L162" t="s">
        <v>1010</v>
      </c>
      <c r="M162" t="s">
        <v>13</v>
      </c>
    </row>
    <row r="163" spans="1:13" x14ac:dyDescent="0.3">
      <c r="A163" t="s">
        <v>541</v>
      </c>
      <c r="B163" t="s">
        <v>557</v>
      </c>
      <c r="C163" t="s">
        <v>558</v>
      </c>
      <c r="D163" t="s">
        <v>559</v>
      </c>
      <c r="E163" t="s">
        <v>415</v>
      </c>
      <c r="F163" t="s">
        <v>12</v>
      </c>
      <c r="G163" t="s">
        <v>1114</v>
      </c>
      <c r="H163" t="s">
        <v>122</v>
      </c>
      <c r="I163" t="s">
        <v>279</v>
      </c>
      <c r="J163" t="s">
        <v>1123</v>
      </c>
      <c r="K163" t="s">
        <v>1124</v>
      </c>
      <c r="L163" t="s">
        <v>948</v>
      </c>
      <c r="M163" t="s">
        <v>13</v>
      </c>
    </row>
    <row r="164" spans="1:13" x14ac:dyDescent="0.3">
      <c r="A164" t="s">
        <v>541</v>
      </c>
      <c r="B164" t="s">
        <v>560</v>
      </c>
      <c r="C164" t="s">
        <v>561</v>
      </c>
      <c r="D164" t="s">
        <v>562</v>
      </c>
      <c r="E164" t="s">
        <v>415</v>
      </c>
      <c r="F164" t="s">
        <v>69</v>
      </c>
      <c r="G164" t="s">
        <v>1114</v>
      </c>
      <c r="H164" t="s">
        <v>691</v>
      </c>
      <c r="I164" t="s">
        <v>336</v>
      </c>
      <c r="J164" t="s">
        <v>884</v>
      </c>
      <c r="K164" t="s">
        <v>1066</v>
      </c>
      <c r="L164" t="s">
        <v>1016</v>
      </c>
      <c r="M164" t="s">
        <v>13</v>
      </c>
    </row>
    <row r="165" spans="1:13" x14ac:dyDescent="0.3">
      <c r="A165" t="s">
        <v>541</v>
      </c>
      <c r="B165" t="s">
        <v>563</v>
      </c>
      <c r="C165" t="s">
        <v>564</v>
      </c>
      <c r="D165" t="s">
        <v>565</v>
      </c>
      <c r="E165" t="s">
        <v>324</v>
      </c>
      <c r="F165" t="s">
        <v>146</v>
      </c>
      <c r="G165" t="s">
        <v>1114</v>
      </c>
      <c r="H165" t="s">
        <v>440</v>
      </c>
      <c r="I165" t="s">
        <v>951</v>
      </c>
      <c r="J165" t="s">
        <v>775</v>
      </c>
      <c r="K165" t="s">
        <v>1041</v>
      </c>
      <c r="L165" t="s">
        <v>559</v>
      </c>
      <c r="M165" t="s">
        <v>13</v>
      </c>
    </row>
    <row r="166" spans="1:13" x14ac:dyDescent="0.3">
      <c r="A166" t="s">
        <v>541</v>
      </c>
      <c r="B166" t="s">
        <v>566</v>
      </c>
      <c r="C166" t="s">
        <v>567</v>
      </c>
      <c r="D166" t="s">
        <v>568</v>
      </c>
      <c r="E166" t="s">
        <v>188</v>
      </c>
      <c r="F166" t="s">
        <v>37</v>
      </c>
      <c r="G166" t="s">
        <v>1114</v>
      </c>
      <c r="H166" t="s">
        <v>1125</v>
      </c>
      <c r="I166" t="s">
        <v>369</v>
      </c>
      <c r="J166" t="s">
        <v>1031</v>
      </c>
      <c r="K166" t="s">
        <v>486</v>
      </c>
      <c r="L166" t="s">
        <v>873</v>
      </c>
      <c r="M166" t="s">
        <v>13</v>
      </c>
    </row>
    <row r="167" spans="1:13" x14ac:dyDescent="0.3">
      <c r="A167" t="s">
        <v>541</v>
      </c>
      <c r="B167" t="s">
        <v>569</v>
      </c>
      <c r="C167" t="s">
        <v>570</v>
      </c>
      <c r="D167" t="s">
        <v>571</v>
      </c>
      <c r="E167" t="s">
        <v>324</v>
      </c>
      <c r="F167" t="s">
        <v>37</v>
      </c>
      <c r="G167" t="s">
        <v>1114</v>
      </c>
      <c r="H167" t="s">
        <v>1126</v>
      </c>
      <c r="I167" t="s">
        <v>508</v>
      </c>
      <c r="J167" t="s">
        <v>734</v>
      </c>
      <c r="K167" t="s">
        <v>775</v>
      </c>
      <c r="L167" t="s">
        <v>1127</v>
      </c>
      <c r="M167" t="s">
        <v>13</v>
      </c>
    </row>
    <row r="168" spans="1:13" x14ac:dyDescent="0.3">
      <c r="A168" t="s">
        <v>541</v>
      </c>
      <c r="B168" t="s">
        <v>572</v>
      </c>
      <c r="C168" t="s">
        <v>573</v>
      </c>
      <c r="D168" t="s">
        <v>574</v>
      </c>
      <c r="E168" t="s">
        <v>575</v>
      </c>
      <c r="F168" t="s">
        <v>576</v>
      </c>
      <c r="G168" t="s">
        <v>1114</v>
      </c>
      <c r="H168" t="s">
        <v>1034</v>
      </c>
      <c r="I168" t="s">
        <v>410</v>
      </c>
      <c r="J168" t="s">
        <v>768</v>
      </c>
      <c r="K168" t="s">
        <v>1102</v>
      </c>
      <c r="L168" t="s">
        <v>1128</v>
      </c>
      <c r="M168" t="s">
        <v>13</v>
      </c>
    </row>
    <row r="169" spans="1:13" x14ac:dyDescent="0.3">
      <c r="A169" t="s">
        <v>541</v>
      </c>
      <c r="B169" t="s">
        <v>577</v>
      </c>
      <c r="C169" t="s">
        <v>578</v>
      </c>
      <c r="D169" t="s">
        <v>579</v>
      </c>
      <c r="E169" t="s">
        <v>324</v>
      </c>
      <c r="F169" t="s">
        <v>231</v>
      </c>
      <c r="G169" t="s">
        <v>1114</v>
      </c>
      <c r="H169" t="s">
        <v>1120</v>
      </c>
      <c r="I169" t="s">
        <v>255</v>
      </c>
      <c r="J169" t="s">
        <v>822</v>
      </c>
      <c r="K169" t="s">
        <v>888</v>
      </c>
      <c r="L169" t="s">
        <v>933</v>
      </c>
      <c r="M169" t="s">
        <v>13</v>
      </c>
    </row>
    <row r="170" spans="1:13" x14ac:dyDescent="0.3">
      <c r="A170" t="s">
        <v>541</v>
      </c>
      <c r="B170" t="s">
        <v>580</v>
      </c>
      <c r="C170" t="s">
        <v>581</v>
      </c>
      <c r="D170" t="s">
        <v>293</v>
      </c>
      <c r="E170" t="s">
        <v>150</v>
      </c>
      <c r="F170" t="s">
        <v>231</v>
      </c>
      <c r="G170" t="s">
        <v>1114</v>
      </c>
      <c r="H170" t="s">
        <v>1078</v>
      </c>
      <c r="I170" t="s">
        <v>537</v>
      </c>
      <c r="J170" t="s">
        <v>1129</v>
      </c>
      <c r="K170" t="s">
        <v>1011</v>
      </c>
      <c r="L170" t="s">
        <v>933</v>
      </c>
      <c r="M170" t="s">
        <v>13</v>
      </c>
    </row>
    <row r="171" spans="1:13" x14ac:dyDescent="0.3">
      <c r="A171" t="s">
        <v>541</v>
      </c>
      <c r="B171" t="s">
        <v>582</v>
      </c>
      <c r="C171" t="s">
        <v>583</v>
      </c>
      <c r="D171" t="s">
        <v>584</v>
      </c>
      <c r="E171" t="s">
        <v>36</v>
      </c>
      <c r="F171" t="s">
        <v>540</v>
      </c>
      <c r="G171" t="s">
        <v>1114</v>
      </c>
      <c r="H171" t="s">
        <v>1072</v>
      </c>
      <c r="I171" t="s">
        <v>579</v>
      </c>
      <c r="J171" t="s">
        <v>1130</v>
      </c>
      <c r="K171" t="s">
        <v>1011</v>
      </c>
      <c r="L171" t="s">
        <v>1131</v>
      </c>
      <c r="M171" t="s">
        <v>13</v>
      </c>
    </row>
    <row r="172" spans="1:13" x14ac:dyDescent="0.3">
      <c r="A172" t="s">
        <v>541</v>
      </c>
      <c r="B172" t="s">
        <v>585</v>
      </c>
      <c r="C172" t="s">
        <v>586</v>
      </c>
      <c r="D172" t="s">
        <v>587</v>
      </c>
      <c r="E172" t="s">
        <v>324</v>
      </c>
      <c r="F172" t="s">
        <v>75</v>
      </c>
      <c r="G172" t="s">
        <v>1114</v>
      </c>
      <c r="H172" t="s">
        <v>1132</v>
      </c>
      <c r="I172" t="s">
        <v>426</v>
      </c>
      <c r="J172" t="s">
        <v>936</v>
      </c>
      <c r="K172" t="s">
        <v>985</v>
      </c>
      <c r="L172" t="s">
        <v>306</v>
      </c>
      <c r="M172" t="s">
        <v>13</v>
      </c>
    </row>
    <row r="173" spans="1:13" x14ac:dyDescent="0.3">
      <c r="A173" t="s">
        <v>541</v>
      </c>
      <c r="B173" t="s">
        <v>588</v>
      </c>
      <c r="C173" t="s">
        <v>589</v>
      </c>
      <c r="D173" t="s">
        <v>590</v>
      </c>
      <c r="E173" t="s">
        <v>150</v>
      </c>
      <c r="F173" t="s">
        <v>129</v>
      </c>
      <c r="G173" t="s">
        <v>1114</v>
      </c>
      <c r="H173" t="s">
        <v>1133</v>
      </c>
      <c r="I173" t="s">
        <v>1134</v>
      </c>
      <c r="J173" t="s">
        <v>1135</v>
      </c>
      <c r="K173" t="s">
        <v>914</v>
      </c>
      <c r="L173" t="s">
        <v>976</v>
      </c>
      <c r="M173" t="s">
        <v>13</v>
      </c>
    </row>
    <row r="174" spans="1:13" x14ac:dyDescent="0.3">
      <c r="A174" t="s">
        <v>541</v>
      </c>
      <c r="B174" t="s">
        <v>591</v>
      </c>
      <c r="C174" t="s">
        <v>592</v>
      </c>
      <c r="D174" t="s">
        <v>405</v>
      </c>
      <c r="E174" t="s">
        <v>150</v>
      </c>
      <c r="F174" t="s">
        <v>107</v>
      </c>
      <c r="G174" t="s">
        <v>1114</v>
      </c>
      <c r="H174" t="s">
        <v>1083</v>
      </c>
      <c r="I174" t="s">
        <v>1111</v>
      </c>
      <c r="J174" t="s">
        <v>1054</v>
      </c>
      <c r="K174" t="s">
        <v>1101</v>
      </c>
      <c r="L174" t="s">
        <v>1131</v>
      </c>
      <c r="M174" t="s">
        <v>13</v>
      </c>
    </row>
    <row r="175" spans="1:13" x14ac:dyDescent="0.3">
      <c r="A175" t="s">
        <v>593</v>
      </c>
      <c r="B175" t="s">
        <v>594</v>
      </c>
      <c r="C175" t="s">
        <v>595</v>
      </c>
      <c r="D175" t="s">
        <v>596</v>
      </c>
      <c r="E175" t="s">
        <v>415</v>
      </c>
      <c r="F175" t="s">
        <v>151</v>
      </c>
      <c r="G175" t="s">
        <v>1136</v>
      </c>
      <c r="H175" t="s">
        <v>1061</v>
      </c>
      <c r="I175" t="s">
        <v>1137</v>
      </c>
      <c r="J175" t="s">
        <v>1138</v>
      </c>
      <c r="K175" t="s">
        <v>936</v>
      </c>
      <c r="L175" t="s">
        <v>993</v>
      </c>
      <c r="M175" t="s">
        <v>13</v>
      </c>
    </row>
    <row r="176" spans="1:13" x14ac:dyDescent="0.3">
      <c r="A176" t="s">
        <v>593</v>
      </c>
      <c r="B176" t="s">
        <v>597</v>
      </c>
      <c r="C176" t="s">
        <v>598</v>
      </c>
      <c r="D176" t="s">
        <v>346</v>
      </c>
      <c r="E176" t="s">
        <v>356</v>
      </c>
      <c r="F176" t="s">
        <v>151</v>
      </c>
      <c r="G176" t="s">
        <v>1136</v>
      </c>
      <c r="H176" t="s">
        <v>1139</v>
      </c>
      <c r="I176" t="s">
        <v>402</v>
      </c>
      <c r="J176" t="s">
        <v>969</v>
      </c>
      <c r="K176" t="s">
        <v>935</v>
      </c>
      <c r="L176" t="s">
        <v>1140</v>
      </c>
      <c r="M176" t="s">
        <v>13</v>
      </c>
    </row>
    <row r="177" spans="1:13" x14ac:dyDescent="0.3">
      <c r="A177" t="s">
        <v>593</v>
      </c>
      <c r="B177" t="s">
        <v>599</v>
      </c>
      <c r="C177" t="s">
        <v>600</v>
      </c>
      <c r="D177" t="s">
        <v>463</v>
      </c>
      <c r="E177" t="s">
        <v>356</v>
      </c>
      <c r="F177" t="s">
        <v>259</v>
      </c>
      <c r="G177" t="s">
        <v>1136</v>
      </c>
      <c r="H177" t="s">
        <v>310</v>
      </c>
      <c r="I177" t="s">
        <v>1137</v>
      </c>
      <c r="J177" t="s">
        <v>263</v>
      </c>
      <c r="K177" t="s">
        <v>1003</v>
      </c>
      <c r="L177" t="s">
        <v>526</v>
      </c>
      <c r="M177" t="s">
        <v>13</v>
      </c>
    </row>
    <row r="178" spans="1:13" x14ac:dyDescent="0.3">
      <c r="A178" t="s">
        <v>593</v>
      </c>
      <c r="B178" t="s">
        <v>601</v>
      </c>
      <c r="C178" t="s">
        <v>602</v>
      </c>
      <c r="D178" t="s">
        <v>603</v>
      </c>
      <c r="E178" t="s">
        <v>134</v>
      </c>
      <c r="F178" t="s">
        <v>196</v>
      </c>
      <c r="G178" t="s">
        <v>1136</v>
      </c>
      <c r="H178" t="s">
        <v>579</v>
      </c>
      <c r="I178" t="s">
        <v>68</v>
      </c>
      <c r="J178" t="s">
        <v>486</v>
      </c>
      <c r="K178" t="s">
        <v>1101</v>
      </c>
      <c r="L178" t="s">
        <v>1141</v>
      </c>
      <c r="M178" t="s">
        <v>13</v>
      </c>
    </row>
    <row r="179" spans="1:13" x14ac:dyDescent="0.3">
      <c r="A179" t="s">
        <v>593</v>
      </c>
      <c r="B179" t="s">
        <v>604</v>
      </c>
      <c r="C179" t="s">
        <v>605</v>
      </c>
      <c r="D179" t="s">
        <v>606</v>
      </c>
      <c r="E179" t="s">
        <v>356</v>
      </c>
      <c r="F179" t="s">
        <v>607</v>
      </c>
      <c r="G179" t="s">
        <v>1136</v>
      </c>
      <c r="H179" t="s">
        <v>446</v>
      </c>
      <c r="I179" t="s">
        <v>149</v>
      </c>
      <c r="J179" t="s">
        <v>895</v>
      </c>
      <c r="K179" t="s">
        <v>889</v>
      </c>
      <c r="L179" t="s">
        <v>954</v>
      </c>
      <c r="M179" t="s">
        <v>13</v>
      </c>
    </row>
    <row r="180" spans="1:13" x14ac:dyDescent="0.3">
      <c r="A180" t="s">
        <v>593</v>
      </c>
      <c r="B180" t="s">
        <v>608</v>
      </c>
      <c r="C180" t="s">
        <v>609</v>
      </c>
      <c r="D180" t="s">
        <v>310</v>
      </c>
      <c r="E180" t="s">
        <v>415</v>
      </c>
      <c r="F180" t="s">
        <v>96</v>
      </c>
      <c r="G180" t="s">
        <v>1136</v>
      </c>
      <c r="H180" t="s">
        <v>1096</v>
      </c>
      <c r="I180" t="s">
        <v>1142</v>
      </c>
      <c r="J180" t="s">
        <v>954</v>
      </c>
      <c r="K180" t="s">
        <v>828</v>
      </c>
      <c r="L180" t="s">
        <v>1015</v>
      </c>
      <c r="M180" t="s">
        <v>13</v>
      </c>
    </row>
    <row r="181" spans="1:13" x14ac:dyDescent="0.3">
      <c r="A181" t="s">
        <v>593</v>
      </c>
      <c r="B181" t="s">
        <v>610</v>
      </c>
      <c r="C181" t="s">
        <v>611</v>
      </c>
      <c r="D181" t="s">
        <v>612</v>
      </c>
      <c r="E181" t="s">
        <v>534</v>
      </c>
      <c r="F181" t="s">
        <v>146</v>
      </c>
      <c r="G181" t="s">
        <v>1136</v>
      </c>
      <c r="H181" t="s">
        <v>293</v>
      </c>
      <c r="I181" t="s">
        <v>1143</v>
      </c>
      <c r="J181" t="s">
        <v>1024</v>
      </c>
      <c r="K181" t="s">
        <v>811</v>
      </c>
      <c r="L181" t="s">
        <v>1144</v>
      </c>
      <c r="M181" t="s">
        <v>13</v>
      </c>
    </row>
    <row r="182" spans="1:13" x14ac:dyDescent="0.3">
      <c r="A182" t="s">
        <v>593</v>
      </c>
      <c r="B182" t="s">
        <v>613</v>
      </c>
      <c r="C182" t="s">
        <v>614</v>
      </c>
      <c r="D182" t="s">
        <v>615</v>
      </c>
      <c r="E182" t="s">
        <v>307</v>
      </c>
      <c r="F182" t="s">
        <v>59</v>
      </c>
      <c r="G182" t="s">
        <v>1136</v>
      </c>
      <c r="H182" t="s">
        <v>1093</v>
      </c>
      <c r="I182" t="s">
        <v>426</v>
      </c>
      <c r="J182" t="s">
        <v>306</v>
      </c>
      <c r="K182" t="s">
        <v>1003</v>
      </c>
      <c r="L182" t="s">
        <v>1011</v>
      </c>
      <c r="M18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2025-01-07T10:15:59Z</dcterms:created>
  <dcterms:modified xsi:type="dcterms:W3CDTF">2025-01-08T02:16:08Z</dcterms:modified>
</cp:coreProperties>
</file>